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S\Petro_DB\"/>
    </mc:Choice>
  </mc:AlternateContent>
  <xr:revisionPtr revIDLastSave="0" documentId="13_ncr:1_{49FFF712-51AA-41F2-AF0E-D947583F29BC}" xr6:coauthVersionLast="47" xr6:coauthVersionMax="47" xr10:uidLastSave="{00000000-0000-0000-0000-000000000000}"/>
  <bookViews>
    <workbookView xWindow="-15480" yWindow="-1200" windowWidth="15600" windowHeight="18720" activeTab="2" xr2:uid="{00000000-000D-0000-FFFF-FFFF00000000}"/>
  </bookViews>
  <sheets>
    <sheet name="material_master" sheetId="1" r:id="rId1"/>
    <sheet name="trade" sheetId="9" r:id="rId2"/>
    <sheet name="raw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0" i="10" l="1"/>
  <c r="G560" i="10" s="1"/>
  <c r="F559" i="10"/>
  <c r="G559" i="10" s="1"/>
  <c r="F558" i="10"/>
  <c r="G558" i="10" s="1"/>
  <c r="F557" i="10"/>
  <c r="G557" i="10" s="1"/>
  <c r="F556" i="10"/>
  <c r="G556" i="10" s="1"/>
  <c r="F555" i="10"/>
  <c r="G555" i="10" s="1"/>
  <c r="F554" i="10"/>
  <c r="G554" i="10" s="1"/>
  <c r="F553" i="10"/>
  <c r="G553" i="10" s="1"/>
  <c r="F552" i="10"/>
  <c r="G552" i="10" s="1"/>
  <c r="F551" i="10"/>
  <c r="G551" i="10" s="1"/>
  <c r="F550" i="10"/>
  <c r="G550" i="10" s="1"/>
  <c r="F549" i="10"/>
  <c r="G549" i="10" s="1"/>
  <c r="F548" i="10"/>
  <c r="G548" i="10" s="1"/>
  <c r="F547" i="10"/>
  <c r="G547" i="10" s="1"/>
  <c r="F546" i="10"/>
  <c r="G546" i="10" s="1"/>
  <c r="F545" i="10"/>
  <c r="G545" i="10" s="1"/>
  <c r="F544" i="10"/>
  <c r="G544" i="10" s="1"/>
  <c r="F543" i="10"/>
  <c r="G543" i="10" s="1"/>
  <c r="F542" i="10"/>
  <c r="G542" i="10" s="1"/>
  <c r="F541" i="10"/>
  <c r="G541" i="10" s="1"/>
  <c r="F540" i="10"/>
  <c r="G540" i="10" s="1"/>
  <c r="F539" i="10"/>
  <c r="G539" i="10" s="1"/>
  <c r="F538" i="10"/>
  <c r="G538" i="10" s="1"/>
  <c r="F537" i="10"/>
  <c r="G537" i="10" s="1"/>
  <c r="F536" i="10"/>
  <c r="G536" i="10" s="1"/>
  <c r="F535" i="10"/>
  <c r="G535" i="10" s="1"/>
  <c r="F534" i="10"/>
  <c r="G534" i="10" s="1"/>
  <c r="F533" i="10"/>
  <c r="G533" i="10" s="1"/>
  <c r="F532" i="10"/>
  <c r="G532" i="10" s="1"/>
  <c r="F531" i="10"/>
  <c r="G531" i="10" s="1"/>
  <c r="F530" i="10"/>
  <c r="G530" i="10" s="1"/>
  <c r="F529" i="10"/>
  <c r="G529" i="10" s="1"/>
  <c r="F528" i="10"/>
  <c r="G528" i="10" s="1"/>
  <c r="F527" i="10"/>
  <c r="G527" i="10" s="1"/>
  <c r="F526" i="10"/>
  <c r="G526" i="10" s="1"/>
  <c r="F525" i="10"/>
  <c r="G525" i="10" s="1"/>
  <c r="F524" i="10"/>
  <c r="G524" i="10" s="1"/>
  <c r="F523" i="10"/>
  <c r="G523" i="10" s="1"/>
  <c r="F522" i="10"/>
  <c r="G522" i="10" s="1"/>
  <c r="F521" i="10"/>
  <c r="G521" i="10" s="1"/>
  <c r="F520" i="10"/>
  <c r="G520" i="10" s="1"/>
  <c r="F519" i="10"/>
  <c r="G519" i="10" s="1"/>
  <c r="F518" i="10"/>
  <c r="G518" i="10" s="1"/>
  <c r="F517" i="10"/>
  <c r="G517" i="10" s="1"/>
  <c r="F516" i="10"/>
  <c r="G516" i="10" s="1"/>
  <c r="F515" i="10"/>
  <c r="G515" i="10" s="1"/>
  <c r="F514" i="10"/>
  <c r="G514" i="10" s="1"/>
  <c r="F513" i="10"/>
  <c r="G513" i="10" s="1"/>
  <c r="F512" i="10"/>
  <c r="G512" i="10" s="1"/>
  <c r="F511" i="10"/>
  <c r="G511" i="10" s="1"/>
  <c r="F510" i="10"/>
  <c r="G510" i="10" s="1"/>
  <c r="F509" i="10"/>
  <c r="G509" i="10" s="1"/>
  <c r="F508" i="10"/>
  <c r="G508" i="10" s="1"/>
  <c r="F507" i="10"/>
  <c r="G507" i="10" s="1"/>
  <c r="F506" i="10"/>
  <c r="G506" i="10" s="1"/>
  <c r="F505" i="10"/>
  <c r="G505" i="10" s="1"/>
  <c r="F504" i="10"/>
  <c r="G504" i="10" s="1"/>
  <c r="F503" i="10"/>
  <c r="G503" i="10" s="1"/>
  <c r="F502" i="10"/>
  <c r="G502" i="10" s="1"/>
  <c r="F501" i="10"/>
  <c r="G501" i="10" s="1"/>
  <c r="F500" i="10"/>
  <c r="G500" i="10" s="1"/>
  <c r="F499" i="10"/>
  <c r="G499" i="10" s="1"/>
  <c r="F498" i="10"/>
  <c r="G498" i="10" s="1"/>
  <c r="F497" i="10"/>
  <c r="G497" i="10" s="1"/>
  <c r="F496" i="10"/>
  <c r="G496" i="10" s="1"/>
  <c r="F495" i="10"/>
  <c r="G495" i="10" s="1"/>
  <c r="F494" i="10"/>
  <c r="G494" i="10" s="1"/>
  <c r="F493" i="10"/>
  <c r="G493" i="10" s="1"/>
  <c r="F492" i="10"/>
  <c r="G492" i="10" s="1"/>
  <c r="F491" i="10"/>
  <c r="G491" i="10" s="1"/>
  <c r="F490" i="10"/>
  <c r="G490" i="10" s="1"/>
  <c r="F489" i="10"/>
  <c r="G489" i="10" s="1"/>
  <c r="F488" i="10"/>
  <c r="G488" i="10" s="1"/>
  <c r="F487" i="10"/>
  <c r="G487" i="10" s="1"/>
  <c r="F486" i="10"/>
  <c r="G486" i="10" s="1"/>
  <c r="F485" i="10"/>
  <c r="G485" i="10" s="1"/>
  <c r="F484" i="10"/>
  <c r="G484" i="10" s="1"/>
  <c r="F483" i="10"/>
  <c r="G483" i="10" s="1"/>
  <c r="F482" i="10"/>
  <c r="G482" i="10" s="1"/>
  <c r="F481" i="10"/>
  <c r="G481" i="10" s="1"/>
  <c r="F480" i="10"/>
  <c r="G480" i="10" s="1"/>
  <c r="F479" i="10"/>
  <c r="G479" i="10" s="1"/>
  <c r="F478" i="10"/>
  <c r="G478" i="10" s="1"/>
  <c r="F477" i="10"/>
  <c r="G477" i="10" s="1"/>
  <c r="F476" i="10"/>
  <c r="G476" i="10" s="1"/>
  <c r="F475" i="10"/>
  <c r="G475" i="10" s="1"/>
  <c r="F474" i="10"/>
  <c r="G474" i="10" s="1"/>
  <c r="F473" i="10"/>
  <c r="G473" i="10" s="1"/>
  <c r="F472" i="10"/>
  <c r="G472" i="10" s="1"/>
  <c r="F471" i="10"/>
  <c r="G471" i="10" s="1"/>
  <c r="F470" i="10"/>
  <c r="G470" i="10" s="1"/>
  <c r="F469" i="10"/>
  <c r="G469" i="10" s="1"/>
  <c r="F468" i="10"/>
  <c r="G468" i="10" s="1"/>
  <c r="F467" i="10"/>
  <c r="G467" i="10" s="1"/>
  <c r="F466" i="10"/>
  <c r="G466" i="10" s="1"/>
  <c r="F465" i="10"/>
  <c r="G465" i="10" s="1"/>
  <c r="F464" i="10"/>
  <c r="G464" i="10" s="1"/>
  <c r="F463" i="10"/>
  <c r="G463" i="10" s="1"/>
  <c r="F462" i="10"/>
  <c r="G462" i="10" s="1"/>
  <c r="F461" i="10"/>
  <c r="G461" i="10" s="1"/>
  <c r="F460" i="10"/>
  <c r="G460" i="10" s="1"/>
  <c r="F459" i="10"/>
  <c r="G459" i="10" s="1"/>
  <c r="F458" i="10"/>
  <c r="G458" i="10" s="1"/>
  <c r="F457" i="10"/>
  <c r="G457" i="10" s="1"/>
  <c r="F456" i="10"/>
  <c r="G456" i="10" s="1"/>
  <c r="F455" i="10"/>
  <c r="G455" i="10" s="1"/>
  <c r="F454" i="10"/>
  <c r="G454" i="10" s="1"/>
  <c r="F453" i="10"/>
  <c r="G453" i="10" s="1"/>
  <c r="F452" i="10"/>
  <c r="G452" i="10" s="1"/>
  <c r="F451" i="10"/>
  <c r="G451" i="10" s="1"/>
  <c r="F450" i="10"/>
  <c r="G450" i="10" s="1"/>
  <c r="F449" i="10"/>
  <c r="G449" i="10" s="1"/>
  <c r="F448" i="10"/>
  <c r="G448" i="10" s="1"/>
  <c r="F447" i="10"/>
  <c r="G447" i="10" s="1"/>
  <c r="F446" i="10"/>
  <c r="G446" i="10" s="1"/>
  <c r="F445" i="10"/>
  <c r="G445" i="10" s="1"/>
  <c r="F444" i="10"/>
  <c r="G444" i="10" s="1"/>
  <c r="F443" i="10"/>
  <c r="G443" i="10" s="1"/>
  <c r="F442" i="10"/>
  <c r="G442" i="10" s="1"/>
  <c r="F441" i="10"/>
  <c r="G441" i="10" s="1"/>
  <c r="F440" i="10"/>
  <c r="G440" i="10" s="1"/>
  <c r="F439" i="10"/>
  <c r="G439" i="10" s="1"/>
  <c r="F438" i="10"/>
  <c r="G438" i="10" s="1"/>
  <c r="F437" i="10"/>
  <c r="G437" i="10" s="1"/>
  <c r="F436" i="10"/>
  <c r="G436" i="10" s="1"/>
  <c r="F435" i="10"/>
  <c r="G435" i="10" s="1"/>
  <c r="F434" i="10"/>
  <c r="G434" i="10" s="1"/>
  <c r="F433" i="10"/>
  <c r="G433" i="10" s="1"/>
  <c r="F432" i="10"/>
  <c r="G432" i="10" s="1"/>
  <c r="F431" i="10"/>
  <c r="G431" i="10" s="1"/>
  <c r="F430" i="10"/>
  <c r="G430" i="10" s="1"/>
  <c r="F429" i="10"/>
  <c r="G429" i="10" s="1"/>
  <c r="F428" i="10"/>
  <c r="G428" i="10" s="1"/>
  <c r="F427" i="10"/>
  <c r="G427" i="10" s="1"/>
  <c r="F426" i="10"/>
  <c r="G426" i="10" s="1"/>
  <c r="F425" i="10"/>
  <c r="G425" i="10" s="1"/>
  <c r="F424" i="10"/>
  <c r="G424" i="10" s="1"/>
  <c r="F423" i="10"/>
  <c r="G423" i="10" s="1"/>
  <c r="F422" i="10"/>
  <c r="G422" i="10" s="1"/>
  <c r="F421" i="10"/>
  <c r="G421" i="10" s="1"/>
  <c r="F420" i="10"/>
  <c r="G420" i="10" s="1"/>
  <c r="F419" i="10"/>
  <c r="G419" i="10" s="1"/>
  <c r="F418" i="10"/>
  <c r="G418" i="10" s="1"/>
  <c r="F417" i="10"/>
  <c r="G417" i="10" s="1"/>
  <c r="F416" i="10"/>
  <c r="G416" i="10" s="1"/>
  <c r="F415" i="10"/>
  <c r="G415" i="10" s="1"/>
  <c r="F414" i="10"/>
  <c r="G414" i="10" s="1"/>
  <c r="F413" i="10"/>
  <c r="G413" i="10" s="1"/>
  <c r="F412" i="10"/>
  <c r="G412" i="10" s="1"/>
  <c r="F411" i="10"/>
  <c r="G411" i="10" s="1"/>
  <c r="F410" i="10"/>
  <c r="G410" i="10" s="1"/>
  <c r="F409" i="10"/>
  <c r="G409" i="10" s="1"/>
  <c r="F408" i="10"/>
  <c r="G408" i="10" s="1"/>
  <c r="F407" i="10"/>
  <c r="G407" i="10" s="1"/>
  <c r="F406" i="10"/>
  <c r="G406" i="10" s="1"/>
  <c r="F405" i="10"/>
  <c r="G405" i="10" s="1"/>
  <c r="F404" i="10"/>
  <c r="G404" i="10" s="1"/>
  <c r="F403" i="10"/>
  <c r="G403" i="10" s="1"/>
  <c r="F402" i="10"/>
  <c r="G402" i="10" s="1"/>
  <c r="F401" i="10"/>
  <c r="G401" i="10" s="1"/>
  <c r="F400" i="10"/>
  <c r="G400" i="10" s="1"/>
  <c r="F399" i="10"/>
  <c r="G399" i="10" s="1"/>
  <c r="F398" i="10"/>
  <c r="G398" i="10" s="1"/>
  <c r="F397" i="10"/>
  <c r="G397" i="10" s="1"/>
  <c r="F396" i="10"/>
  <c r="G396" i="10" s="1"/>
  <c r="F395" i="10"/>
  <c r="G395" i="10" s="1"/>
  <c r="F394" i="10"/>
  <c r="G394" i="10" s="1"/>
  <c r="G393" i="10"/>
  <c r="F393" i="10"/>
  <c r="F392" i="10"/>
  <c r="G392" i="10" s="1"/>
  <c r="F391" i="10"/>
  <c r="G391" i="10" s="1"/>
  <c r="F390" i="10"/>
  <c r="G390" i="10" s="1"/>
  <c r="F389" i="10"/>
  <c r="G389" i="10" s="1"/>
  <c r="F388" i="10"/>
  <c r="G388" i="10" s="1"/>
  <c r="F387" i="10"/>
  <c r="G387" i="10" s="1"/>
  <c r="F386" i="10"/>
  <c r="G386" i="10" s="1"/>
  <c r="F385" i="10"/>
  <c r="G385" i="10" s="1"/>
  <c r="F384" i="10"/>
  <c r="G384" i="10" s="1"/>
  <c r="F383" i="10"/>
  <c r="G383" i="10" s="1"/>
  <c r="F382" i="10"/>
  <c r="G382" i="10" s="1"/>
  <c r="F381" i="10"/>
  <c r="G381" i="10" s="1"/>
  <c r="F380" i="10"/>
  <c r="G380" i="10" s="1"/>
  <c r="F379" i="10"/>
  <c r="G379" i="10" s="1"/>
  <c r="F378" i="10"/>
  <c r="G378" i="10" s="1"/>
  <c r="F377" i="10"/>
  <c r="G377" i="10" s="1"/>
  <c r="F376" i="10"/>
  <c r="G376" i="10" s="1"/>
  <c r="F375" i="10"/>
  <c r="G375" i="10" s="1"/>
  <c r="F374" i="10"/>
  <c r="G374" i="10" s="1"/>
  <c r="F373" i="10"/>
  <c r="G373" i="10" s="1"/>
  <c r="F372" i="10"/>
  <c r="G372" i="10" s="1"/>
  <c r="F371" i="10"/>
  <c r="G371" i="10" s="1"/>
  <c r="F370" i="10"/>
  <c r="G370" i="10" s="1"/>
  <c r="F369" i="10"/>
  <c r="G369" i="10" s="1"/>
  <c r="F368" i="10"/>
  <c r="G368" i="10" s="1"/>
  <c r="F367" i="10"/>
  <c r="G367" i="10" s="1"/>
  <c r="F366" i="10"/>
  <c r="G366" i="10" s="1"/>
  <c r="F365" i="10"/>
  <c r="G365" i="10" s="1"/>
  <c r="F364" i="10"/>
  <c r="G364" i="10" s="1"/>
  <c r="F363" i="10"/>
  <c r="G363" i="10" s="1"/>
  <c r="F362" i="10"/>
  <c r="G362" i="10" s="1"/>
  <c r="F361" i="10"/>
  <c r="G361" i="10" s="1"/>
  <c r="F360" i="10"/>
  <c r="G360" i="10" s="1"/>
  <c r="F359" i="10"/>
  <c r="G359" i="10" s="1"/>
  <c r="F358" i="10"/>
  <c r="G358" i="10" s="1"/>
  <c r="F357" i="10"/>
  <c r="G357" i="10" s="1"/>
  <c r="F356" i="10"/>
  <c r="G356" i="10" s="1"/>
  <c r="F355" i="10"/>
  <c r="G355" i="10" s="1"/>
  <c r="F354" i="10"/>
  <c r="G354" i="10" s="1"/>
  <c r="F353" i="10"/>
  <c r="G353" i="10" s="1"/>
  <c r="F352" i="10"/>
  <c r="G352" i="10" s="1"/>
  <c r="F351" i="10"/>
  <c r="G351" i="10" s="1"/>
  <c r="F350" i="10"/>
  <c r="G350" i="10" s="1"/>
  <c r="F349" i="10"/>
  <c r="G349" i="10" s="1"/>
  <c r="F348" i="10"/>
  <c r="G348" i="10" s="1"/>
  <c r="F347" i="10"/>
  <c r="G347" i="10" s="1"/>
  <c r="F346" i="10"/>
  <c r="G346" i="10" s="1"/>
  <c r="F345" i="10"/>
  <c r="G345" i="10" s="1"/>
  <c r="F344" i="10"/>
  <c r="G344" i="10" s="1"/>
  <c r="F343" i="10"/>
  <c r="G343" i="10" s="1"/>
  <c r="F342" i="10"/>
  <c r="G342" i="10" s="1"/>
  <c r="F341" i="10"/>
  <c r="G341" i="10" s="1"/>
  <c r="F340" i="10"/>
  <c r="G340" i="10" s="1"/>
  <c r="F339" i="10"/>
  <c r="G339" i="10" s="1"/>
  <c r="F338" i="10"/>
  <c r="G338" i="10" s="1"/>
  <c r="F337" i="10"/>
  <c r="G337" i="10" s="1"/>
  <c r="F336" i="10"/>
  <c r="G336" i="10" s="1"/>
  <c r="F335" i="10"/>
  <c r="G335" i="10" s="1"/>
  <c r="F334" i="10"/>
  <c r="G334" i="10" s="1"/>
  <c r="F333" i="10"/>
  <c r="G333" i="10" s="1"/>
  <c r="F332" i="10"/>
  <c r="G332" i="10" s="1"/>
  <c r="F331" i="10"/>
  <c r="G331" i="10" s="1"/>
  <c r="F330" i="10"/>
  <c r="G330" i="10" s="1"/>
  <c r="F329" i="10"/>
  <c r="G329" i="10" s="1"/>
  <c r="F328" i="10"/>
  <c r="G328" i="10" s="1"/>
  <c r="F327" i="10"/>
  <c r="G327" i="10" s="1"/>
  <c r="F326" i="10"/>
  <c r="G326" i="10" s="1"/>
  <c r="F325" i="10"/>
  <c r="G325" i="10" s="1"/>
  <c r="F324" i="10"/>
  <c r="G324" i="10" s="1"/>
  <c r="F323" i="10"/>
  <c r="G323" i="10" s="1"/>
  <c r="F322" i="10"/>
  <c r="G322" i="10" s="1"/>
  <c r="F321" i="10"/>
  <c r="G321" i="10" s="1"/>
  <c r="F320" i="10"/>
  <c r="G320" i="10" s="1"/>
  <c r="F319" i="10"/>
  <c r="G319" i="10" s="1"/>
  <c r="F318" i="10"/>
  <c r="G318" i="10" s="1"/>
  <c r="F317" i="10"/>
  <c r="G317" i="10" s="1"/>
  <c r="F316" i="10"/>
  <c r="G316" i="10" s="1"/>
  <c r="F315" i="10"/>
  <c r="G315" i="10" s="1"/>
  <c r="F314" i="10"/>
  <c r="G314" i="10" s="1"/>
  <c r="F313" i="10"/>
  <c r="G313" i="10" s="1"/>
  <c r="F312" i="10"/>
  <c r="G312" i="10" s="1"/>
  <c r="F311" i="10"/>
  <c r="G311" i="10" s="1"/>
  <c r="F310" i="10"/>
  <c r="G310" i="10" s="1"/>
  <c r="F309" i="10"/>
  <c r="G309" i="10" s="1"/>
  <c r="F308" i="10"/>
  <c r="G308" i="10" s="1"/>
  <c r="F307" i="10"/>
  <c r="G307" i="10" s="1"/>
  <c r="F306" i="10"/>
  <c r="G306" i="10" s="1"/>
  <c r="F305" i="10"/>
  <c r="G305" i="10" s="1"/>
  <c r="F304" i="10"/>
  <c r="G304" i="10" s="1"/>
  <c r="F303" i="10"/>
  <c r="G303" i="10" s="1"/>
  <c r="F302" i="10"/>
  <c r="G302" i="10" s="1"/>
  <c r="F301" i="10"/>
  <c r="G301" i="10" s="1"/>
  <c r="F300" i="10"/>
  <c r="G300" i="10" s="1"/>
  <c r="F299" i="10"/>
  <c r="G299" i="10" s="1"/>
  <c r="F298" i="10"/>
  <c r="G298" i="10" s="1"/>
  <c r="F297" i="10"/>
  <c r="G297" i="10" s="1"/>
  <c r="F296" i="10"/>
  <c r="G296" i="10" s="1"/>
  <c r="F295" i="10"/>
  <c r="G295" i="10" s="1"/>
  <c r="F294" i="10"/>
  <c r="G294" i="10" s="1"/>
  <c r="F293" i="10"/>
  <c r="G293" i="10" s="1"/>
  <c r="F292" i="10"/>
  <c r="G292" i="10" s="1"/>
  <c r="F291" i="10"/>
  <c r="G291" i="10" s="1"/>
  <c r="F290" i="10"/>
  <c r="G290" i="10" s="1"/>
  <c r="F289" i="10"/>
  <c r="G289" i="10" s="1"/>
  <c r="F288" i="10"/>
  <c r="G288" i="10" s="1"/>
  <c r="F287" i="10"/>
  <c r="G287" i="10" s="1"/>
  <c r="F286" i="10"/>
  <c r="G286" i="10" s="1"/>
  <c r="F285" i="10"/>
  <c r="G285" i="10" s="1"/>
  <c r="F284" i="10"/>
  <c r="G284" i="10" s="1"/>
  <c r="F283" i="10"/>
  <c r="G283" i="10" s="1"/>
  <c r="F282" i="10"/>
  <c r="G282" i="10" s="1"/>
  <c r="F281" i="10"/>
  <c r="G281" i="10" s="1"/>
  <c r="F280" i="10"/>
  <c r="G280" i="10" s="1"/>
  <c r="F279" i="10"/>
  <c r="G279" i="10" s="1"/>
  <c r="F278" i="10"/>
  <c r="G278" i="10" s="1"/>
  <c r="F277" i="10"/>
  <c r="G277" i="10" s="1"/>
  <c r="F276" i="10"/>
  <c r="G276" i="10" s="1"/>
  <c r="F275" i="10"/>
  <c r="G275" i="10" s="1"/>
  <c r="F274" i="10"/>
  <c r="G274" i="10" s="1"/>
  <c r="F273" i="10"/>
  <c r="G273" i="10" s="1"/>
  <c r="F272" i="10"/>
  <c r="G272" i="10" s="1"/>
  <c r="F271" i="10"/>
  <c r="G271" i="10" s="1"/>
  <c r="F270" i="10"/>
  <c r="G270" i="10" s="1"/>
  <c r="F269" i="10"/>
  <c r="G269" i="10" s="1"/>
  <c r="F268" i="10"/>
  <c r="G268" i="10" s="1"/>
  <c r="F267" i="10"/>
  <c r="G267" i="10" s="1"/>
  <c r="F266" i="10"/>
  <c r="G266" i="10" s="1"/>
  <c r="F265" i="10"/>
  <c r="G265" i="10" s="1"/>
  <c r="F264" i="10"/>
  <c r="G264" i="10" s="1"/>
  <c r="F263" i="10"/>
  <c r="G263" i="10" s="1"/>
  <c r="F262" i="10"/>
  <c r="G262" i="10" s="1"/>
  <c r="F261" i="10"/>
  <c r="G261" i="10" s="1"/>
  <c r="F260" i="10"/>
  <c r="G260" i="10" s="1"/>
  <c r="F259" i="10"/>
  <c r="G259" i="10" s="1"/>
  <c r="F258" i="10"/>
  <c r="G258" i="10" s="1"/>
  <c r="F257" i="10"/>
  <c r="G257" i="10" s="1"/>
  <c r="F256" i="10"/>
  <c r="G256" i="10" s="1"/>
  <c r="F255" i="10"/>
  <c r="G255" i="10" s="1"/>
  <c r="F254" i="10"/>
  <c r="G254" i="10" s="1"/>
  <c r="F253" i="10"/>
  <c r="G253" i="10" s="1"/>
  <c r="F252" i="10"/>
  <c r="G252" i="10" s="1"/>
  <c r="F251" i="10"/>
  <c r="G251" i="10" s="1"/>
  <c r="F250" i="10"/>
  <c r="G250" i="10" s="1"/>
  <c r="F249" i="10"/>
  <c r="G249" i="10" s="1"/>
  <c r="F248" i="10"/>
  <c r="G248" i="10" s="1"/>
  <c r="F247" i="10"/>
  <c r="G247" i="10" s="1"/>
  <c r="F246" i="10"/>
  <c r="G246" i="10" s="1"/>
  <c r="F245" i="10"/>
  <c r="G245" i="10" s="1"/>
  <c r="F244" i="10"/>
  <c r="G244" i="10" s="1"/>
  <c r="F243" i="10"/>
  <c r="G243" i="10" s="1"/>
  <c r="F242" i="10"/>
  <c r="G242" i="10" s="1"/>
  <c r="F241" i="10"/>
  <c r="G241" i="10" s="1"/>
  <c r="F240" i="10"/>
  <c r="G240" i="10" s="1"/>
  <c r="F239" i="10"/>
  <c r="G239" i="10" s="1"/>
  <c r="F238" i="10"/>
  <c r="G238" i="10" s="1"/>
  <c r="F237" i="10"/>
  <c r="G237" i="10" s="1"/>
  <c r="F236" i="10"/>
  <c r="G236" i="10" s="1"/>
  <c r="F235" i="10"/>
  <c r="G235" i="10" s="1"/>
  <c r="F234" i="10"/>
  <c r="G234" i="10" s="1"/>
  <c r="F233" i="10"/>
  <c r="G233" i="10" s="1"/>
  <c r="F232" i="10"/>
  <c r="G232" i="10" s="1"/>
  <c r="F231" i="10"/>
  <c r="G231" i="10" s="1"/>
  <c r="F230" i="10"/>
  <c r="G230" i="10" s="1"/>
  <c r="F229" i="10"/>
  <c r="G229" i="10" s="1"/>
  <c r="F228" i="10"/>
  <c r="G228" i="10" s="1"/>
  <c r="F227" i="10"/>
  <c r="G227" i="10" s="1"/>
  <c r="F226" i="10"/>
  <c r="G226" i="10" s="1"/>
  <c r="F225" i="10"/>
  <c r="G225" i="10" s="1"/>
  <c r="F224" i="10"/>
  <c r="G224" i="10" s="1"/>
  <c r="F223" i="10"/>
  <c r="G223" i="10" s="1"/>
  <c r="F222" i="10"/>
  <c r="G222" i="10" s="1"/>
  <c r="F221" i="10"/>
  <c r="G221" i="10" s="1"/>
  <c r="F220" i="10"/>
  <c r="G220" i="10" s="1"/>
  <c r="F219" i="10"/>
  <c r="G219" i="10" s="1"/>
  <c r="F218" i="10"/>
  <c r="G218" i="10" s="1"/>
  <c r="F217" i="10"/>
  <c r="G217" i="10" s="1"/>
  <c r="F216" i="10"/>
  <c r="G216" i="10" s="1"/>
  <c r="F215" i="10"/>
  <c r="G215" i="10" s="1"/>
  <c r="F214" i="10"/>
  <c r="G214" i="10" s="1"/>
  <c r="F213" i="10"/>
  <c r="G213" i="10" s="1"/>
  <c r="F212" i="10"/>
  <c r="G212" i="10" s="1"/>
  <c r="F211" i="10"/>
  <c r="G211" i="10" s="1"/>
  <c r="F210" i="10"/>
  <c r="G210" i="10" s="1"/>
  <c r="F209" i="10"/>
  <c r="G209" i="10" s="1"/>
  <c r="F208" i="10"/>
  <c r="G208" i="10" s="1"/>
  <c r="F207" i="10"/>
  <c r="G207" i="10" s="1"/>
  <c r="F206" i="10"/>
  <c r="G206" i="10" s="1"/>
  <c r="F205" i="10"/>
  <c r="G205" i="10" s="1"/>
  <c r="F204" i="10"/>
  <c r="G204" i="10" s="1"/>
  <c r="F203" i="10"/>
  <c r="G203" i="10" s="1"/>
  <c r="F202" i="10"/>
  <c r="G202" i="10" s="1"/>
  <c r="F201" i="10"/>
  <c r="G201" i="10" s="1"/>
  <c r="F200" i="10"/>
  <c r="G200" i="10" s="1"/>
  <c r="G199" i="10"/>
  <c r="F199" i="10"/>
  <c r="F198" i="10"/>
  <c r="G198" i="10" s="1"/>
  <c r="F197" i="10"/>
  <c r="G197" i="10" s="1"/>
  <c r="F196" i="10"/>
  <c r="G196" i="10" s="1"/>
  <c r="G195" i="10"/>
  <c r="F195" i="10"/>
  <c r="F194" i="10"/>
  <c r="G194" i="10" s="1"/>
  <c r="F193" i="10"/>
  <c r="G193" i="10" s="1"/>
  <c r="F192" i="10"/>
  <c r="G192" i="10" s="1"/>
  <c r="F191" i="10"/>
  <c r="G191" i="10" s="1"/>
  <c r="F190" i="10"/>
  <c r="G190" i="10" s="1"/>
  <c r="G189" i="10"/>
  <c r="F189" i="10"/>
  <c r="F188" i="10"/>
  <c r="G188" i="10" s="1"/>
  <c r="F187" i="10"/>
  <c r="G187" i="10" s="1"/>
  <c r="G186" i="10"/>
  <c r="F186" i="10"/>
  <c r="F185" i="10"/>
  <c r="G185" i="10" s="1"/>
  <c r="F184" i="10"/>
  <c r="G184" i="10" s="1"/>
  <c r="F183" i="10"/>
  <c r="G183" i="10" s="1"/>
  <c r="F182" i="10"/>
  <c r="G182" i="10" s="1"/>
  <c r="G181" i="10"/>
  <c r="F181" i="10"/>
  <c r="F180" i="10"/>
  <c r="G180" i="10" s="1"/>
  <c r="F179" i="10"/>
  <c r="G179" i="10" s="1"/>
  <c r="F178" i="10"/>
  <c r="G178" i="10" s="1"/>
  <c r="F177" i="10"/>
  <c r="G177" i="10" s="1"/>
  <c r="F176" i="10"/>
  <c r="G176" i="10" s="1"/>
  <c r="F175" i="10"/>
  <c r="G175" i="10" s="1"/>
  <c r="F174" i="10"/>
  <c r="G174" i="10" s="1"/>
  <c r="F173" i="10"/>
  <c r="G173" i="10" s="1"/>
  <c r="F172" i="10"/>
  <c r="G172" i="10" s="1"/>
  <c r="F171" i="10"/>
  <c r="G171" i="10" s="1"/>
  <c r="F170" i="10"/>
  <c r="G170" i="10" s="1"/>
  <c r="F169" i="10"/>
  <c r="G169" i="10" s="1"/>
  <c r="F168" i="10"/>
  <c r="G168" i="10" s="1"/>
  <c r="F167" i="10"/>
  <c r="G167" i="10" s="1"/>
  <c r="F166" i="10"/>
  <c r="G166" i="10" s="1"/>
  <c r="F165" i="10"/>
  <c r="G165" i="10" s="1"/>
  <c r="F164" i="10"/>
  <c r="G164" i="10" s="1"/>
  <c r="F163" i="10"/>
  <c r="G163" i="10" s="1"/>
  <c r="F162" i="10"/>
  <c r="G162" i="10" s="1"/>
  <c r="G161" i="10"/>
  <c r="F161" i="10"/>
  <c r="F160" i="10"/>
  <c r="G160" i="10" s="1"/>
  <c r="F159" i="10"/>
  <c r="G159" i="10" s="1"/>
  <c r="F158" i="10"/>
  <c r="G158" i="10" s="1"/>
  <c r="F157" i="10"/>
  <c r="G157" i="10" s="1"/>
  <c r="G156" i="10"/>
  <c r="F156" i="10"/>
  <c r="G155" i="10"/>
  <c r="F155" i="10"/>
  <c r="F154" i="10"/>
  <c r="G154" i="10" s="1"/>
  <c r="G153" i="10"/>
  <c r="F153" i="10"/>
  <c r="F152" i="10"/>
  <c r="G152" i="10" s="1"/>
  <c r="F151" i="10"/>
  <c r="G151" i="10" s="1"/>
  <c r="F150" i="10"/>
  <c r="G150" i="10" s="1"/>
  <c r="F149" i="10"/>
  <c r="G149" i="10" s="1"/>
  <c r="G148" i="10"/>
  <c r="F148" i="10"/>
  <c r="F147" i="10"/>
  <c r="G147" i="10" s="1"/>
  <c r="F146" i="10"/>
  <c r="G146" i="10" s="1"/>
  <c r="F145" i="10"/>
  <c r="G145" i="10" s="1"/>
  <c r="G144" i="10"/>
  <c r="F144" i="10"/>
  <c r="F143" i="10"/>
  <c r="G143" i="10" s="1"/>
  <c r="F142" i="10"/>
  <c r="G142" i="10" s="1"/>
  <c r="G141" i="10"/>
  <c r="F141" i="10"/>
  <c r="F140" i="10"/>
  <c r="G140" i="10" s="1"/>
  <c r="G139" i="10"/>
  <c r="F139" i="10"/>
  <c r="F138" i="10"/>
  <c r="G138" i="10" s="1"/>
  <c r="F137" i="10"/>
  <c r="G137" i="10" s="1"/>
  <c r="G136" i="10"/>
  <c r="F136" i="10"/>
  <c r="G135" i="10"/>
  <c r="F135" i="10"/>
  <c r="F134" i="10"/>
  <c r="G134" i="10" s="1"/>
  <c r="F133" i="10"/>
  <c r="G133" i="10" s="1"/>
  <c r="F132" i="10"/>
  <c r="G132" i="10" s="1"/>
  <c r="F131" i="10"/>
  <c r="G131" i="10" s="1"/>
  <c r="F130" i="10"/>
  <c r="G130" i="10" s="1"/>
  <c r="F129" i="10"/>
  <c r="G129" i="10" s="1"/>
  <c r="F128" i="10"/>
  <c r="G128" i="10" s="1"/>
  <c r="F127" i="10"/>
  <c r="G127" i="10" s="1"/>
  <c r="F126" i="10"/>
  <c r="G126" i="10" s="1"/>
  <c r="G125" i="10"/>
  <c r="F125" i="10"/>
  <c r="G124" i="10"/>
  <c r="F124" i="10"/>
  <c r="F123" i="10"/>
  <c r="G123" i="10" s="1"/>
  <c r="F122" i="10"/>
  <c r="G122" i="10" s="1"/>
  <c r="G121" i="10"/>
  <c r="F121" i="10"/>
  <c r="G120" i="10"/>
  <c r="F120" i="10"/>
  <c r="G119" i="10"/>
  <c r="F119" i="10"/>
  <c r="F118" i="10"/>
  <c r="G118" i="10" s="1"/>
  <c r="G117" i="10"/>
  <c r="F117" i="10"/>
  <c r="F116" i="10"/>
  <c r="G116" i="10" s="1"/>
  <c r="F115" i="10"/>
  <c r="G115" i="10" s="1"/>
  <c r="F114" i="10"/>
  <c r="G114" i="10" s="1"/>
  <c r="F113" i="10"/>
  <c r="G113" i="10" s="1"/>
  <c r="F112" i="10"/>
  <c r="G112" i="10" s="1"/>
  <c r="F111" i="10"/>
  <c r="G111" i="10" s="1"/>
  <c r="F110" i="10"/>
  <c r="G110" i="10" s="1"/>
  <c r="F109" i="10"/>
  <c r="G109" i="10" s="1"/>
  <c r="F108" i="10"/>
  <c r="G108" i="10" s="1"/>
  <c r="F107" i="10"/>
  <c r="G107" i="10" s="1"/>
  <c r="F106" i="10"/>
  <c r="G106" i="10" s="1"/>
  <c r="F105" i="10"/>
  <c r="G105" i="10" s="1"/>
  <c r="F104" i="10"/>
  <c r="G104" i="10" s="1"/>
  <c r="F103" i="10"/>
  <c r="G103" i="10" s="1"/>
  <c r="F102" i="10"/>
  <c r="G102" i="10" s="1"/>
  <c r="F101" i="10"/>
  <c r="G101" i="10" s="1"/>
  <c r="F100" i="10"/>
  <c r="G100" i="10" s="1"/>
  <c r="F99" i="10"/>
  <c r="G99" i="10" s="1"/>
  <c r="F98" i="10"/>
  <c r="G98" i="10" s="1"/>
  <c r="F97" i="10"/>
  <c r="G97" i="10" s="1"/>
  <c r="F96" i="10"/>
  <c r="G96" i="10" s="1"/>
  <c r="F95" i="10"/>
  <c r="G95" i="10" s="1"/>
  <c r="G94" i="10"/>
  <c r="F94" i="10"/>
  <c r="F93" i="10"/>
  <c r="G93" i="10" s="1"/>
  <c r="F92" i="10"/>
  <c r="G92" i="10" s="1"/>
  <c r="F91" i="10"/>
  <c r="G91" i="10" s="1"/>
  <c r="F90" i="10"/>
  <c r="G90" i="10" s="1"/>
  <c r="F89" i="10"/>
  <c r="G89" i="10" s="1"/>
  <c r="G88" i="10"/>
  <c r="F88" i="10"/>
  <c r="F87" i="10"/>
  <c r="G87" i="10" s="1"/>
  <c r="F86" i="10"/>
  <c r="G86" i="10" s="1"/>
  <c r="F85" i="10"/>
  <c r="G85" i="10" s="1"/>
  <c r="F84" i="10"/>
  <c r="G84" i="10" s="1"/>
  <c r="F83" i="10"/>
  <c r="G83" i="10" s="1"/>
  <c r="F82" i="10"/>
  <c r="G82" i="10" s="1"/>
  <c r="G81" i="10"/>
  <c r="F81" i="10"/>
  <c r="F80" i="10"/>
  <c r="G80" i="10" s="1"/>
  <c r="G79" i="10"/>
  <c r="F79" i="10"/>
  <c r="F78" i="10"/>
  <c r="G78" i="10" s="1"/>
  <c r="F77" i="10"/>
  <c r="G77" i="10" s="1"/>
  <c r="G76" i="10"/>
  <c r="F76" i="10"/>
  <c r="F75" i="10"/>
  <c r="G75" i="10" s="1"/>
  <c r="G74" i="10"/>
  <c r="F74" i="10"/>
  <c r="G73" i="10"/>
  <c r="F73" i="10"/>
  <c r="F72" i="10"/>
  <c r="G72" i="10" s="1"/>
  <c r="F71" i="10"/>
  <c r="G71" i="10" s="1"/>
  <c r="G70" i="10"/>
  <c r="F70" i="10"/>
  <c r="F69" i="10"/>
  <c r="G69" i="10" s="1"/>
  <c r="G68" i="10"/>
  <c r="F68" i="10"/>
  <c r="F67" i="10"/>
  <c r="G67" i="10" s="1"/>
  <c r="F66" i="10"/>
  <c r="G66" i="10" s="1"/>
  <c r="G65" i="10"/>
  <c r="F65" i="10"/>
  <c r="G64" i="10"/>
  <c r="F64" i="10"/>
  <c r="F63" i="10"/>
  <c r="G63" i="10" s="1"/>
  <c r="F62" i="10"/>
  <c r="G62" i="10" s="1"/>
  <c r="F61" i="10"/>
  <c r="G61" i="10" s="1"/>
  <c r="G60" i="10"/>
  <c r="F60" i="10"/>
  <c r="F59" i="10"/>
  <c r="G59" i="10" s="1"/>
  <c r="G58" i="10"/>
  <c r="F58" i="10"/>
  <c r="F57" i="10"/>
  <c r="G57" i="10" s="1"/>
  <c r="G56" i="10"/>
  <c r="F56" i="10"/>
  <c r="F55" i="10"/>
  <c r="G55" i="10" s="1"/>
  <c r="F54" i="10"/>
  <c r="G54" i="10" s="1"/>
  <c r="F53" i="10"/>
  <c r="G53" i="10" s="1"/>
  <c r="F52" i="10"/>
  <c r="G52" i="10" s="1"/>
  <c r="F51" i="10"/>
  <c r="G51" i="10" s="1"/>
  <c r="F50" i="10"/>
  <c r="G50" i="10" s="1"/>
  <c r="F49" i="10"/>
  <c r="G49" i="10" s="1"/>
  <c r="F48" i="10"/>
  <c r="G48" i="10" s="1"/>
  <c r="F47" i="10"/>
  <c r="G47" i="10" s="1"/>
  <c r="F46" i="10"/>
  <c r="G46" i="10" s="1"/>
  <c r="F45" i="10"/>
  <c r="G45" i="10" s="1"/>
  <c r="F44" i="10"/>
  <c r="G44" i="10" s="1"/>
  <c r="G43" i="10"/>
  <c r="F43" i="10"/>
  <c r="F42" i="10"/>
  <c r="G42" i="10" s="1"/>
  <c r="F41" i="10"/>
  <c r="G41" i="10" s="1"/>
  <c r="F40" i="10"/>
  <c r="G40" i="10" s="1"/>
  <c r="G39" i="10"/>
  <c r="F39" i="10"/>
  <c r="F38" i="10"/>
  <c r="G38" i="10" s="1"/>
  <c r="F37" i="10"/>
  <c r="G37" i="10" s="1"/>
  <c r="F36" i="10"/>
  <c r="G36" i="10" s="1"/>
  <c r="G35" i="10"/>
  <c r="F35" i="10"/>
  <c r="F34" i="10"/>
  <c r="G34" i="10" s="1"/>
  <c r="F33" i="10"/>
  <c r="G33" i="10" s="1"/>
  <c r="F32" i="10"/>
  <c r="G32" i="10" s="1"/>
  <c r="F31" i="10"/>
  <c r="G31" i="10" s="1"/>
  <c r="F30" i="10"/>
  <c r="G30" i="10" s="1"/>
  <c r="F29" i="10"/>
  <c r="G29" i="10" s="1"/>
  <c r="F28" i="10"/>
  <c r="G28" i="10" s="1"/>
  <c r="G27" i="10"/>
  <c r="F27" i="10"/>
  <c r="F26" i="10"/>
  <c r="G26" i="10" s="1"/>
  <c r="G25" i="10"/>
  <c r="F25" i="10"/>
  <c r="F24" i="10"/>
  <c r="G24" i="10" s="1"/>
  <c r="F23" i="10"/>
  <c r="G23" i="10" s="1"/>
  <c r="G22" i="10"/>
  <c r="F22" i="10"/>
  <c r="G21" i="10"/>
  <c r="F21" i="10"/>
  <c r="F20" i="10"/>
  <c r="G20" i="10" s="1"/>
  <c r="G19" i="10"/>
  <c r="F19" i="10"/>
  <c r="F18" i="10"/>
  <c r="G18" i="10" s="1"/>
  <c r="G17" i="10"/>
  <c r="F17" i="10"/>
  <c r="F16" i="10"/>
  <c r="G16" i="10" s="1"/>
  <c r="F15" i="10"/>
  <c r="G15" i="10" s="1"/>
  <c r="F14" i="10"/>
  <c r="G14" i="10" s="1"/>
  <c r="F13" i="10"/>
  <c r="G13" i="10" s="1"/>
  <c r="F12" i="10"/>
  <c r="G12" i="10" s="1"/>
  <c r="F11" i="10"/>
  <c r="G11" i="10" s="1"/>
  <c r="F10" i="10"/>
  <c r="G10" i="10" s="1"/>
  <c r="F9" i="10"/>
  <c r="G9" i="10" s="1"/>
  <c r="F8" i="10"/>
  <c r="G8" i="10" s="1"/>
  <c r="F7" i="10"/>
  <c r="G7" i="10" s="1"/>
  <c r="G6" i="10"/>
  <c r="F6" i="10"/>
  <c r="G5" i="10"/>
  <c r="F5" i="10"/>
  <c r="G4" i="10"/>
  <c r="F4" i="10"/>
  <c r="F3" i="10"/>
  <c r="G3" i="10" s="1"/>
  <c r="F2" i="10"/>
  <c r="G2" i="10" s="1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tc={583DACAD-58E4-4A7B-BBE0-F54E7FD002A2}</author>
    <author>tc={527C89FA-3535-45ED-AB16-7B5845EE7CC2}</author>
  </authors>
  <commentList>
    <comment ref="F73" authorId="0" shapeId="0" xr:uid="{583DACAD-58E4-4A7B-BBE0-F54E7FD002A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Mixed 인지 불명확</t>
      </text>
    </comment>
    <comment ref="F77" authorId="1" shapeId="0" xr:uid="{527C89FA-3535-45ED-AB16-7B5845EE7CC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1-hexene인지 불분명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tc={5B56E149-D93C-4905-83AE-874A1A851730}</author>
  </authors>
  <commentList>
    <comment ref="B3" authorId="0" shapeId="0" xr:uid="{5B56E149-D93C-4905-83AE-874A1A85173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1-hexene인지 불분명</t>
      </text>
    </comment>
  </commentList>
</comments>
</file>

<file path=xl/sharedStrings.xml><?xml version="1.0" encoding="utf-8"?>
<sst xmlns="http://schemas.openxmlformats.org/spreadsheetml/2006/main" count="1140" uniqueCount="332">
  <si>
    <t>remarks</t>
    <phoneticPr fontId="1" type="noConversion"/>
  </si>
  <si>
    <t>material_id</t>
    <phoneticPr fontId="1" type="noConversion"/>
  </si>
  <si>
    <t>material_name</t>
    <phoneticPr fontId="1" type="noConversion"/>
  </si>
  <si>
    <t>material_group</t>
    <phoneticPr fontId="1" type="noConversion"/>
  </si>
  <si>
    <t>material_type</t>
    <phoneticPr fontId="1" type="noConversion"/>
  </si>
  <si>
    <t>M001</t>
  </si>
  <si>
    <t>Ethylene</t>
  </si>
  <si>
    <t>Base chemical</t>
  </si>
  <si>
    <t>Propylene</t>
  </si>
  <si>
    <t>M003</t>
  </si>
  <si>
    <t>Benzene</t>
  </si>
  <si>
    <t>M004</t>
  </si>
  <si>
    <t>M005</t>
  </si>
  <si>
    <t>M006</t>
  </si>
  <si>
    <t>C4</t>
  </si>
  <si>
    <t>M007</t>
  </si>
  <si>
    <t>1-Butene</t>
  </si>
  <si>
    <t>Intermediate</t>
  </si>
  <si>
    <t>M008</t>
  </si>
  <si>
    <t>M009</t>
  </si>
  <si>
    <t>Ethylbenzene</t>
  </si>
  <si>
    <t>M010</t>
  </si>
  <si>
    <t>Styrene</t>
  </si>
  <si>
    <t>M011</t>
  </si>
  <si>
    <t>Polystyrene</t>
  </si>
  <si>
    <t>Polymer</t>
  </si>
  <si>
    <t>Butadiene</t>
  </si>
  <si>
    <t>Isobutylene</t>
  </si>
  <si>
    <t>2-Butene</t>
  </si>
  <si>
    <t>Cumene</t>
  </si>
  <si>
    <t>HDPE</t>
  </si>
  <si>
    <t>Monomer</t>
  </si>
  <si>
    <t>LDPE</t>
  </si>
  <si>
    <t>LLDPE</t>
  </si>
  <si>
    <t>Ethylene dichloride</t>
  </si>
  <si>
    <t>Vinyl chloride monomer</t>
  </si>
  <si>
    <t>PVC</t>
  </si>
  <si>
    <t>Ethyl acetate</t>
  </si>
  <si>
    <t>Ethyl acrylate</t>
  </si>
  <si>
    <t>Acetaldehyde</t>
  </si>
  <si>
    <t>Vinyl acetate monomer</t>
  </si>
  <si>
    <t>Ethanol</t>
  </si>
  <si>
    <t>Solvent</t>
  </si>
  <si>
    <t>Ethylamine</t>
  </si>
  <si>
    <t>Ethylene oxide</t>
  </si>
  <si>
    <t>Ethanolamines</t>
  </si>
  <si>
    <t>MEA</t>
  </si>
  <si>
    <t>DEA</t>
  </si>
  <si>
    <t>TEA</t>
  </si>
  <si>
    <t>VCM</t>
    <phoneticPr fontId="1" type="noConversion"/>
  </si>
  <si>
    <t>VAM</t>
    <phoneticPr fontId="1" type="noConversion"/>
  </si>
  <si>
    <t>M002</t>
    <phoneticPr fontId="1" type="noConversion"/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</si>
  <si>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</si>
  <si>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</si>
  <si>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</si>
  <si>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</si>
  <si>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</si>
  <si>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</si>
  <si>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</si>
  <si>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</si>
  <si>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</si>
  <si>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</si>
  <si>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</si>
  <si>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</si>
  <si>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</si>
  <si>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</si>
  <si>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</si>
  <si>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</si>
  <si>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</si>
  <si>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</si>
  <si>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</si>
  <si>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</si>
  <si>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</si>
  <si>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</si>
  <si>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</si>
  <si>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</si>
  <si>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</si>
  <si>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</si>
  <si>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</si>
  <si>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</si>
  <si>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</si>
  <si>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</si>
  <si>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</si>
  <si>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</si>
  <si>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</si>
  <si>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</si>
  <si>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</si>
  <si>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</si>
  <si>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</si>
  <si>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</si>
  <si>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</si>
  <si>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</si>
  <si>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</si>
  <si>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</si>
  <si>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</si>
  <si>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NBR</t>
  </si>
  <si>
    <t>Polypropylene</t>
  </si>
  <si>
    <t>Propylene oxide</t>
  </si>
  <si>
    <t>Propylene glycol</t>
  </si>
  <si>
    <t>Polypropylene glycol</t>
  </si>
  <si>
    <t>Polyols</t>
  </si>
  <si>
    <t>Phenol</t>
  </si>
  <si>
    <t>Acetone</t>
  </si>
  <si>
    <t>Acrylic acid</t>
  </si>
  <si>
    <t>AA</t>
    <phoneticPr fontId="1" type="noConversion"/>
  </si>
  <si>
    <t>Polyacrylate</t>
  </si>
  <si>
    <t>SAP</t>
    <phoneticPr fontId="1" type="noConversion"/>
  </si>
  <si>
    <t>Butyraldehyde</t>
  </si>
  <si>
    <t>n-Butanol</t>
  </si>
  <si>
    <t>Isobutanol</t>
  </si>
  <si>
    <t>Acrylonitrile</t>
  </si>
  <si>
    <t>ABS</t>
  </si>
  <si>
    <t>SAN</t>
  </si>
  <si>
    <t>Super Absorbent Polymer</t>
  </si>
  <si>
    <t>2-Ethylhexanol</t>
  </si>
  <si>
    <t>n-Butyl acetate</t>
  </si>
  <si>
    <t>Isobutyl acetate</t>
  </si>
  <si>
    <t>Isopropyl acetate</t>
  </si>
  <si>
    <t>BR</t>
  </si>
  <si>
    <t>SBR</t>
  </si>
  <si>
    <t>Polyisobutylene</t>
  </si>
  <si>
    <t>PIB</t>
    <phoneticPr fontId="1" type="noConversion"/>
  </si>
  <si>
    <t>MTBE</t>
  </si>
  <si>
    <t>n-Butenes</t>
  </si>
  <si>
    <t>Butyl rubber</t>
  </si>
  <si>
    <t>Polybutene-1</t>
    <phoneticPr fontId="1" type="noConversion"/>
  </si>
  <si>
    <t>PB-1</t>
    <phoneticPr fontId="1" type="noConversion"/>
  </si>
  <si>
    <t>M055</t>
  </si>
  <si>
    <t>M056</t>
  </si>
  <si>
    <t>Aniline</t>
  </si>
  <si>
    <t>Cyclohexane</t>
  </si>
  <si>
    <t>Bisphenol A</t>
  </si>
  <si>
    <t>Polycarbonate</t>
  </si>
  <si>
    <t>Epoxy resin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</si>
  <si>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</si>
  <si>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</si>
  <si>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</si>
  <si>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</si>
  <si>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</si>
  <si>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</si>
  <si>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</si>
  <si>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</si>
  <si>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</si>
  <si>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</si>
  <si>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PG</t>
    <phoneticPr fontId="1" type="noConversion"/>
  </si>
  <si>
    <t>PPG</t>
    <phoneticPr fontId="1" type="noConversion"/>
  </si>
  <si>
    <t>PO</t>
    <phoneticPr fontId="1" type="noConversion"/>
  </si>
  <si>
    <t>PP</t>
    <phoneticPr fontId="1" type="noConversion"/>
  </si>
  <si>
    <t>PU</t>
    <phoneticPr fontId="1" type="noConversion"/>
  </si>
  <si>
    <t>Y</t>
    <phoneticPr fontId="1" type="noConversion"/>
  </si>
  <si>
    <t>visual_exclude</t>
    <phoneticPr fontId="1" type="noConversion"/>
  </si>
  <si>
    <t>Acrylate</t>
    <phoneticPr fontId="1" type="noConversion"/>
  </si>
  <si>
    <t>Cyclohexanone</t>
    <phoneticPr fontId="1" type="noConversion"/>
  </si>
  <si>
    <t>LAB</t>
    <phoneticPr fontId="1" type="noConversion"/>
  </si>
  <si>
    <t>Linear Alkylbenzene</t>
    <phoneticPr fontId="1" type="noConversion"/>
  </si>
  <si>
    <t>M067</t>
    <phoneticPr fontId="1" type="noConversion"/>
  </si>
  <si>
    <t>Base chemical</t>
    <phoneticPr fontId="1" type="noConversion"/>
  </si>
  <si>
    <t>Benzene</t>
    <phoneticPr fontId="1" type="noConversion"/>
  </si>
  <si>
    <t>MA</t>
    <phoneticPr fontId="1" type="noConversion"/>
  </si>
  <si>
    <t>Methanol</t>
    <phoneticPr fontId="1" type="noConversion"/>
  </si>
  <si>
    <t>EDC</t>
    <phoneticPr fontId="1" type="noConversion"/>
  </si>
  <si>
    <t>AN</t>
    <phoneticPr fontId="1" type="noConversion"/>
  </si>
  <si>
    <t>IPA</t>
    <phoneticPr fontId="1" type="noConversion"/>
  </si>
  <si>
    <t>Acetic acid</t>
    <phoneticPr fontId="1" type="noConversion"/>
  </si>
  <si>
    <t>M068</t>
    <phoneticPr fontId="1" type="noConversion"/>
  </si>
  <si>
    <t>Maleic anhydride</t>
    <phoneticPr fontId="1" type="noConversion"/>
  </si>
  <si>
    <t>EB</t>
    <phoneticPr fontId="1" type="noConversion"/>
  </si>
  <si>
    <t>PS</t>
    <phoneticPr fontId="1" type="noConversion"/>
  </si>
  <si>
    <t>BPA</t>
    <phoneticPr fontId="1" type="noConversion"/>
  </si>
  <si>
    <t>PC</t>
    <phoneticPr fontId="1" type="noConversion"/>
  </si>
  <si>
    <t>C3=</t>
    <phoneticPr fontId="1" type="noConversion"/>
  </si>
  <si>
    <t>EO</t>
    <phoneticPr fontId="1" type="noConversion"/>
  </si>
  <si>
    <t>C2=</t>
    <phoneticPr fontId="1" type="noConversion"/>
  </si>
  <si>
    <t>BD</t>
    <phoneticPr fontId="1" type="noConversion"/>
  </si>
  <si>
    <t>Poly vinyl chloride</t>
    <phoneticPr fontId="1" type="noConversion"/>
  </si>
  <si>
    <t>Monoethanolamine</t>
    <phoneticPr fontId="1" type="noConversion"/>
  </si>
  <si>
    <t>Diethanolamine</t>
    <phoneticPr fontId="1" type="noConversion"/>
  </si>
  <si>
    <t>Triethanolamine</t>
    <phoneticPr fontId="1" type="noConversion"/>
  </si>
  <si>
    <t>Monoethyleneglycol</t>
    <phoneticPr fontId="1" type="noConversion"/>
  </si>
  <si>
    <t>MEG</t>
    <phoneticPr fontId="1" type="noConversion"/>
  </si>
  <si>
    <t>Acrylonitrile Butadiene Stryrene</t>
    <phoneticPr fontId="1" type="noConversion"/>
  </si>
  <si>
    <t>Styrene Acrylonitrile</t>
    <phoneticPr fontId="1" type="noConversion"/>
  </si>
  <si>
    <t>Nitrile Butadiene Rubber</t>
    <phoneticPr fontId="1" type="noConversion"/>
  </si>
  <si>
    <t>M069</t>
    <phoneticPr fontId="1" type="noConversion"/>
  </si>
  <si>
    <t>M070</t>
    <phoneticPr fontId="1" type="noConversion"/>
  </si>
  <si>
    <t>M071</t>
    <phoneticPr fontId="1" type="noConversion"/>
  </si>
  <si>
    <t>Solvent</t>
    <phoneticPr fontId="1" type="noConversion"/>
  </si>
  <si>
    <t>Toluene</t>
    <phoneticPr fontId="1" type="noConversion"/>
  </si>
  <si>
    <t>M072</t>
    <phoneticPr fontId="1" type="noConversion"/>
  </si>
  <si>
    <t>Xylene</t>
    <phoneticPr fontId="1" type="noConversion"/>
  </si>
  <si>
    <t>M073</t>
    <phoneticPr fontId="1" type="noConversion"/>
  </si>
  <si>
    <t>PA</t>
    <phoneticPr fontId="1" type="noConversion"/>
  </si>
  <si>
    <t>Pthalic Anhydride</t>
    <phoneticPr fontId="1" type="noConversion"/>
  </si>
  <si>
    <t>Intermediate</t>
    <phoneticPr fontId="1" type="noConversion"/>
  </si>
  <si>
    <t>Monomer</t>
    <phoneticPr fontId="1" type="noConversion"/>
  </si>
  <si>
    <t>PIA</t>
    <phoneticPr fontId="1" type="noConversion"/>
  </si>
  <si>
    <t>TPA</t>
    <phoneticPr fontId="1" type="noConversion"/>
  </si>
  <si>
    <t>DMT</t>
    <phoneticPr fontId="1" type="noConversion"/>
  </si>
  <si>
    <t>Purified Isophtalic Acid</t>
    <phoneticPr fontId="1" type="noConversion"/>
  </si>
  <si>
    <t>Terephtalic Acid</t>
    <phoneticPr fontId="1" type="noConversion"/>
  </si>
  <si>
    <t>Dimethyl Terephtalate</t>
    <phoneticPr fontId="1" type="noConversion"/>
  </si>
  <si>
    <t>M074</t>
    <phoneticPr fontId="1" type="noConversion"/>
  </si>
  <si>
    <t>vertical_order</t>
    <phoneticPr fontId="1" type="noConversion"/>
  </si>
  <si>
    <t>Isopropanol</t>
    <phoneticPr fontId="1" type="noConversion"/>
  </si>
  <si>
    <t>Caprolactam</t>
    <phoneticPr fontId="1" type="noConversion"/>
  </si>
  <si>
    <t>M075</t>
    <phoneticPr fontId="1" type="noConversion"/>
  </si>
  <si>
    <t>M076</t>
    <phoneticPr fontId="1" type="noConversion"/>
  </si>
  <si>
    <t>M077</t>
    <phoneticPr fontId="1" type="noConversion"/>
  </si>
  <si>
    <t>LAO</t>
    <phoneticPr fontId="1" type="noConversion"/>
  </si>
  <si>
    <t>1-Hexene</t>
    <phoneticPr fontId="1" type="noConversion"/>
  </si>
  <si>
    <t>Ethylene</t>
    <phoneticPr fontId="1" type="noConversion"/>
  </si>
  <si>
    <t>PAO</t>
    <phoneticPr fontId="1" type="noConversion"/>
  </si>
  <si>
    <t>Linear alpha olefins mixture (typically C4–C12+ range)</t>
    <phoneticPr fontId="1" type="noConversion"/>
  </si>
  <si>
    <t>M078</t>
    <phoneticPr fontId="1" type="noConversion"/>
  </si>
  <si>
    <t>M079</t>
    <phoneticPr fontId="1" type="noConversion"/>
  </si>
  <si>
    <t>MMA</t>
    <phoneticPr fontId="1" type="noConversion"/>
  </si>
  <si>
    <t>PMMA</t>
    <phoneticPr fontId="1" type="noConversion"/>
  </si>
  <si>
    <t>Polymer</t>
    <phoneticPr fontId="1" type="noConversion"/>
  </si>
  <si>
    <t>Polymethyl methacrylate</t>
    <phoneticPr fontId="1" type="noConversion"/>
  </si>
  <si>
    <t>Methyl methacrylate monomer</t>
    <phoneticPr fontId="1" type="noConversion"/>
  </si>
  <si>
    <t>M080</t>
    <phoneticPr fontId="1" type="noConversion"/>
  </si>
  <si>
    <t>Formaldehyde</t>
    <phoneticPr fontId="1" type="noConversion"/>
  </si>
  <si>
    <t>M081</t>
    <phoneticPr fontId="1" type="noConversion"/>
  </si>
  <si>
    <t>M082</t>
    <phoneticPr fontId="1" type="noConversion"/>
  </si>
  <si>
    <t>EC</t>
    <phoneticPr fontId="1" type="noConversion"/>
  </si>
  <si>
    <t>Ethylene Carbonate</t>
    <phoneticPr fontId="1" type="noConversion"/>
  </si>
  <si>
    <t>DMC</t>
    <phoneticPr fontId="1" type="noConversion"/>
  </si>
  <si>
    <t>Diemethyl Carbonate</t>
    <phoneticPr fontId="1" type="noConversion"/>
  </si>
  <si>
    <t>M083</t>
    <phoneticPr fontId="1" type="noConversion"/>
  </si>
  <si>
    <t>M084</t>
    <phoneticPr fontId="1" type="noConversion"/>
  </si>
  <si>
    <t>PVA</t>
    <phoneticPr fontId="1" type="noConversion"/>
  </si>
  <si>
    <t>EVA</t>
    <phoneticPr fontId="1" type="noConversion"/>
  </si>
  <si>
    <t>Polyvinyl alcohol</t>
    <phoneticPr fontId="1" type="noConversion"/>
  </si>
  <si>
    <t>Ethylene-vinyl acetate copolymer</t>
    <phoneticPr fontId="1" type="noConversion"/>
  </si>
  <si>
    <t>M085</t>
    <phoneticPr fontId="1" type="noConversion"/>
  </si>
  <si>
    <t>M086</t>
    <phoneticPr fontId="1" type="noConversion"/>
  </si>
  <si>
    <t>MDI</t>
    <phoneticPr fontId="1" type="noConversion"/>
  </si>
  <si>
    <t>TDI</t>
    <phoneticPr fontId="1" type="noConversion"/>
  </si>
  <si>
    <t>Methylene Diphenyl Disocyanate</t>
    <phoneticPr fontId="1" type="noConversion"/>
  </si>
  <si>
    <t>Toluene Diisocyanate</t>
    <phoneticPr fontId="1" type="noConversion"/>
  </si>
  <si>
    <t>M087</t>
    <phoneticPr fontId="1" type="noConversion"/>
  </si>
  <si>
    <t>M088</t>
    <phoneticPr fontId="1" type="noConversion"/>
  </si>
  <si>
    <t>M089</t>
    <phoneticPr fontId="1" type="noConversion"/>
  </si>
  <si>
    <t>o-Xylene</t>
    <phoneticPr fontId="1" type="noConversion"/>
  </si>
  <si>
    <t>m-Xylene</t>
    <phoneticPr fontId="1" type="noConversion"/>
  </si>
  <si>
    <t>p-Xylene</t>
    <phoneticPr fontId="1" type="noConversion"/>
  </si>
  <si>
    <t>M090</t>
  </si>
  <si>
    <t>M091</t>
  </si>
  <si>
    <t>M092</t>
  </si>
  <si>
    <t>End-use</t>
    <phoneticPr fontId="1" type="noConversion"/>
  </si>
  <si>
    <t>M093</t>
    <phoneticPr fontId="1" type="noConversion"/>
  </si>
  <si>
    <t>PET</t>
    <phoneticPr fontId="1" type="noConversion"/>
  </si>
  <si>
    <t>Polyethylene terephthalate</t>
    <phoneticPr fontId="1" type="noConversion"/>
  </si>
  <si>
    <t>Polyurethane(Rigid)</t>
    <phoneticPr fontId="1" type="noConversion"/>
  </si>
  <si>
    <t>Polyurethane(Flexible)</t>
    <phoneticPr fontId="1" type="noConversion"/>
  </si>
  <si>
    <t>M094</t>
    <phoneticPr fontId="1" type="noConversion"/>
  </si>
  <si>
    <t>1-Octene</t>
    <phoneticPr fontId="1" type="noConversion"/>
  </si>
  <si>
    <t>M095</t>
    <phoneticPr fontId="1" type="noConversion"/>
  </si>
  <si>
    <t>hsk10</t>
    <phoneticPr fontId="1" type="noConversion"/>
  </si>
  <si>
    <t xml:space="preserve"> </t>
    <phoneticPr fontId="1" type="noConversion"/>
  </si>
  <si>
    <t>material_name_hsk</t>
    <phoneticPr fontId="1" type="noConversion"/>
  </si>
  <si>
    <t>헥센</t>
  </si>
  <si>
    <t>옥텐</t>
  </si>
  <si>
    <t>시클로헥산</t>
  </si>
  <si>
    <t>벤젠</t>
  </si>
  <si>
    <t>톨루엔</t>
  </si>
  <si>
    <t>오르토-크실렌</t>
  </si>
  <si>
    <t>메타-크실렌</t>
  </si>
  <si>
    <t>파라-크실렌</t>
  </si>
  <si>
    <t>스티렌</t>
  </si>
  <si>
    <t>에틸벤젠</t>
  </si>
  <si>
    <t>큐멘</t>
  </si>
  <si>
    <t>이염화에틸렌(ISO)(1,2-이염화에탄)</t>
  </si>
  <si>
    <t>염화비닐(염화에틸렌)</t>
  </si>
  <si>
    <t>메탄올(메틸알코올)</t>
  </si>
  <si>
    <t>1-프로판올(프로필알코올)</t>
  </si>
  <si>
    <t>1-부탄올(노르말-부틸알코올)</t>
  </si>
  <si>
    <t>2-에틸헥실알코올</t>
  </si>
  <si>
    <t>에틸렌글리콜(에탄디올)</t>
  </si>
  <si>
    <t>프로필렌글리콜(프로판-1,2-디올)</t>
  </si>
  <si>
    <t>페놀</t>
  </si>
  <si>
    <t>4,4´-이소프로필리덴디페놀(비스페놀에이)</t>
  </si>
  <si>
    <t>메틸터샤리 부틸에테르</t>
  </si>
  <si>
    <t>옥시란(에틸렌옥사이드)</t>
  </si>
  <si>
    <t>메틸옥시란(프로필렌옥사이드)</t>
  </si>
  <si>
    <t>메탄알(포름알데히드)</t>
  </si>
  <si>
    <t>에탄알(아세트알데히드)</t>
  </si>
  <si>
    <t>부탄알(부티르알데히드, 노르말-이성체)</t>
  </si>
  <si>
    <t>아세톤</t>
  </si>
  <si>
    <t>시클로헥사논</t>
  </si>
  <si>
    <t>초산</t>
  </si>
  <si>
    <t>초산비닐</t>
  </si>
  <si>
    <t>아크릴산</t>
  </si>
  <si>
    <t>아크릴산에틸</t>
  </si>
  <si>
    <t>메타아크릴산메틸</t>
  </si>
  <si>
    <t>무수말레산</t>
  </si>
  <si>
    <t>무수프탈산</t>
  </si>
  <si>
    <t>테레프탈산</t>
  </si>
  <si>
    <t>테레프탈산디메틸</t>
  </si>
  <si>
    <t>아닐린</t>
  </si>
  <si>
    <t>모노에탄올아민</t>
  </si>
  <si>
    <t>디에탄올아민</t>
  </si>
  <si>
    <t>트리에탄올아민</t>
  </si>
  <si>
    <t>아크릴로니트릴</t>
  </si>
  <si>
    <t>톨루엔 디이소시아네이트</t>
  </si>
  <si>
    <t>디페닐메탄 디이소시아네이트</t>
  </si>
  <si>
    <t>6-헥산락탐(에프시론-카프로락탐)</t>
  </si>
  <si>
    <t>선형저밀도폴리에틸렌</t>
  </si>
  <si>
    <t>폴리프로필렌</t>
  </si>
  <si>
    <t>폴리이소부틸렌</t>
  </si>
  <si>
    <t>스티렌-아크릴로니트릴 공중합체(SAN)</t>
  </si>
  <si>
    <t>아크릴로니트릴-부타디엔-스티렌 공중합체(ABS)</t>
  </si>
  <si>
    <t>스티렌-부타디엔 공중합체</t>
  </si>
  <si>
    <t>폴리(메틸 메타크리레이트)</t>
  </si>
  <si>
    <t>폴리카보네이트</t>
  </si>
  <si>
    <t>폴리우레탄</t>
  </si>
  <si>
    <t>변성 에틸알코올과 그 밖의 변성 주정</t>
    <phoneticPr fontId="1" type="noConversion"/>
  </si>
  <si>
    <t>EPDM</t>
    <phoneticPr fontId="1" type="noConversion"/>
  </si>
  <si>
    <t>Octanol</t>
    <phoneticPr fontId="1" type="noConversion"/>
  </si>
  <si>
    <t>M096</t>
    <phoneticPr fontId="1" type="noConversion"/>
  </si>
  <si>
    <t>n-Butanol</t>
    <phoneticPr fontId="1" type="noConversion"/>
  </si>
  <si>
    <t/>
  </si>
  <si>
    <t>C4</t>
    <phoneticPr fontId="1" type="noConversion"/>
  </si>
  <si>
    <t>(Ethylene base)</t>
    <phoneticPr fontId="1" type="noConversion"/>
  </si>
  <si>
    <t>(1-butene base)</t>
    <phoneticPr fontId="1" type="noConversion"/>
  </si>
  <si>
    <t>M097</t>
    <phoneticPr fontId="1" type="noConversion"/>
  </si>
  <si>
    <t>year</t>
    <phoneticPr fontId="1" type="noConversion"/>
  </si>
  <si>
    <t>export</t>
    <phoneticPr fontId="1" type="noConversion"/>
  </si>
  <si>
    <t>import</t>
    <phoneticPr fontId="1" type="noConversion"/>
  </si>
  <si>
    <t>diff</t>
    <phoneticPr fontId="1" type="noConversion"/>
  </si>
  <si>
    <t>export/import</t>
    <phoneticPr fontId="1" type="noConversion"/>
  </si>
  <si>
    <t>변성 에틸알코올과 그 밖의 변성 주정(알코올의 용량은 상관없다)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</si>
</sst>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  <xf numFmtId="0" fontId="0" fillId="0" borderId="0" xfId="0" quotePrefix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4" fontId="0" fillId="0" borderId="3" xfId="0" applyNumberFormat="1" applyBorder="1"/>
    <xf numFmtId="176" fontId="0" fillId="0" borderId="0" xfId="0" applyNumberFormat="1" applyAlignment="1">
      <alignment vertical="center"/>
    </xf>
  </cellXfs>
  <cellStyles count="1">
    <cellStyle name="표준" xfId="0" builtinId="0"/>
  </cellStyles>
  <dxfs count="12">
    <dxf>
      <numFmt numFmtId="0" formatCode="General"/>
      <alignment horizontal="general" vertical="bottom" textRotation="0" wrapText="0" indent="0" justifyLastLine="0" shrinkToFit="0" readingOrder="0"/>
    </dxf>
    <dxf>
      <numFmt numFmtId="176" formatCode="#,##0.0_ "/>
    </dxf>
    <dxf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theme="1"/>
        </top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원일(W.I. Lee)" id="{8347A911-FB60-4CDD-95F5-37932B9B2DD3}" userId="S::wonil.lee90@S-OIL.COM::75f69710-ceca-4457-b198-7daa6e80130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A5DC12-C774-4094-B2D2-06384F4F2631}" name="표2" displayName="표2" ref="A1:H98" totalsRowShown="0">
  <autoFilter ref="A1:H98" xr:uid="{58A5DC12-C774-4094-B2D2-06384F4F2631}"/>
  <tableColumns count="8">
    <tableColumn id="1" xr3:uid="{8A7558A9-C918-4FAF-8C33-C287BE025DB3}" name="material_id"/>
    <tableColumn id="2" xr3:uid="{E0883773-7DC7-45AF-85B7-C29E7A5E523F}" name="material_name"/>
    <tableColumn id="3" xr3:uid="{8A85F034-DF3B-44C9-9E51-50661E5D53C1}" name="material_group"/>
    <tableColumn id="4" xr3:uid="{FDE30E60-A954-4DB9-B9CC-46226569A71D}" name="material_type"/>
    <tableColumn id="7" xr3:uid="{4B78A951-8AF0-41A8-98E7-8C29CB511FB6}" name="vertical_order"/>
    <tableColumn id="8" xr3:uid="{0AD4DE31-52F7-4670-BFBF-41E8DCC216A0}" name="hsk10"/>
    <tableColumn id="5" xr3:uid="{5B491150-7223-4258-8F0C-406EC97FB36E}" name="remarks"/>
    <tableColumn id="6" xr3:uid="{4DA2D092-D5C9-4CCE-BBFA-F99BD80AF685}" name="visual_exclud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DFC1BB-9391-44EF-B760-6B4BD3356B2B}" name="표9" displayName="표9" ref="A1:D58" totalsRowShown="0">
  <sortState xmlns:xlrd2="http://schemas.microsoft.com/office/spreadsheetml/2017/richdata2" ref="A2:C58">
    <sortCondition ref="A1:A58"/>
  </sortState>
  <tableColumns count="4">
    <tableColumn id="1" xr3:uid="{FE680477-08AA-4C50-B0E7-35C788FE9C9B}" name="material_id" dataDxfId="10">
      <calculatedColumnFormula>_xlfn.XLOOKUP(표9[[#This Row],[hsk10]],표2[hsk10],표2[material_id])</calculatedColumnFormula>
    </tableColumn>
    <tableColumn id="4" xr3:uid="{6A1D3365-880C-46EA-A0E9-222C9ECD36B8}" name="hsk10"/>
    <tableColumn id="2" xr3:uid="{6CE3F1F7-BFA1-4740-AD48-075581A0AF65}" name="material_name"/>
    <tableColumn id="3" xr3:uid="{7EC613D4-F0DE-4753-B6F0-FE8770429B48}" name="material_name_hsk" dataDxfId="1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39EC6A-89CE-42AE-B5C3-0F352724DF98}" name="표1" displayName="표1" ref="A1:G560" totalsRowShown="0" headerRowDxfId="9" dataDxfId="8" tableBorderDxfId="7">
  <autoFilter ref="A1:G560" xr:uid="{EA39EC6A-89CE-42AE-B5C3-0F352724DF98}"/>
  <tableColumns count="7">
    <tableColumn id="1" xr3:uid="{D2B32EF4-5D25-4D7B-8C34-B5B80DFA0DB4}" name="year" dataDxfId="6"/>
    <tableColumn id="2" xr3:uid="{6B2896B4-504A-4825-AC96-5DE54C921232}" name="hsk10" dataDxfId="5"/>
    <tableColumn id="3" xr3:uid="{920B5602-B1C8-433E-BF4A-791A2033EB91}" name="material_name_hsk" dataDxfId="4"/>
    <tableColumn id="4" xr3:uid="{5586CBA7-4B53-43E2-88B6-D7FF8A79B269}" name="export" dataDxfId="3"/>
    <tableColumn id="5" xr3:uid="{D9F493FD-EA5C-49D3-909F-31F6A40FB514}" name="import" dataDxfId="2"/>
    <tableColumn id="6" xr3:uid="{E49B28C8-C50F-4425-8162-8C052B24E6B9}" name="diff" dataDxfId="1">
      <calculatedColumnFormula>E2-D2</calculatedColumnFormula>
    </tableColumn>
    <tableColumn id="7" xr3:uid="{B8370475-BABD-41C1-92E4-F7887A72CD15}" name="export/import" dataDxfId="0">
      <calculatedColumnFormula>IF(표1[[#This Row],[diff]]&gt;0,"import","export")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3" dT="2026-04-07T05:11:03.73" personId="{8347A911-FB60-4CDD-95F5-37932B9B2DD3}" id="{583DACAD-58E4-4A7B-BBE0-F54E7FD002A2}">
    <text>Mixed 인지 불명확</text>
  </threadedComment>
  <threadedComment ref="F77" dT="2026-04-07T05:12:26.45" personId="{8347A911-FB60-4CDD-95F5-37932B9B2DD3}" id="{527C89FA-3535-45ED-AB16-7B5845EE7CC2}">
    <text>1-hexene인지 불분명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6-04-07T05:12:26.45" personId="{8347A911-FB60-4CDD-95F5-37932B9B2DD3}" id="{5B56E149-D93C-4905-83AE-874A1A851730}">
    <text>1-hexene인지 불분명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opLeftCell="A63" zoomScaleNormal="100" workbookViewId="0">
      <selection activeCell="D22" sqref="D22"/>
    </sheetView>
  </sheetViews>
  <sheetFormatPr defaultRowHeight="16.5" x14ac:dyDescent="0.3"/>
  <cols>
    <col min="1" max="1" width="13.5" bestFit="1" customWidth="1"/>
    <col min="2" max="2" width="28.125" bestFit="1" customWidth="1"/>
    <col min="3" max="3" width="17.5" bestFit="1" customWidth="1"/>
    <col min="4" max="4" width="16" bestFit="1" customWidth="1"/>
    <col min="5" max="6" width="12.625" customWidth="1"/>
    <col min="7" max="7" width="16.5" bestFit="1" customWidth="1"/>
  </cols>
  <sheetData>
    <row r="1" spans="1:8" x14ac:dyDescent="0.3">
      <c r="A1" t="s">
        <v>1</v>
      </c>
      <c r="B1" t="s">
        <v>2</v>
      </c>
      <c r="C1" t="s">
        <v>3</v>
      </c>
      <c r="D1" t="s">
        <v>4</v>
      </c>
      <c r="E1" t="s">
        <v>202</v>
      </c>
      <c r="F1" t="s">
        <v>258</v>
      </c>
      <c r="G1" t="s">
        <v>0</v>
      </c>
      <c r="H1" t="s">
        <v>150</v>
      </c>
    </row>
    <row r="2" spans="1:8" x14ac:dyDescent="0.3">
      <c r="A2" t="s">
        <v>5</v>
      </c>
      <c r="B2" t="s">
        <v>6</v>
      </c>
      <c r="C2" t="s">
        <v>6</v>
      </c>
      <c r="D2" t="s">
        <v>7</v>
      </c>
      <c r="E2">
        <v>2100</v>
      </c>
      <c r="F2">
        <v>2901210000</v>
      </c>
      <c r="G2" t="s">
        <v>172</v>
      </c>
    </row>
    <row r="3" spans="1:8" x14ac:dyDescent="0.3">
      <c r="A3" t="s">
        <v>51</v>
      </c>
      <c r="B3" t="s">
        <v>30</v>
      </c>
      <c r="C3" t="s">
        <v>6</v>
      </c>
      <c r="D3" t="s">
        <v>25</v>
      </c>
      <c r="E3">
        <v>2110</v>
      </c>
    </row>
    <row r="4" spans="1:8" x14ac:dyDescent="0.3">
      <c r="A4" t="s">
        <v>9</v>
      </c>
      <c r="B4" t="s">
        <v>32</v>
      </c>
      <c r="C4" t="s">
        <v>6</v>
      </c>
      <c r="D4" t="s">
        <v>25</v>
      </c>
      <c r="E4">
        <v>2120</v>
      </c>
    </row>
    <row r="5" spans="1:8" x14ac:dyDescent="0.3">
      <c r="A5" t="s">
        <v>11</v>
      </c>
      <c r="B5" t="s">
        <v>33</v>
      </c>
      <c r="C5" t="s">
        <v>6</v>
      </c>
      <c r="D5" t="s">
        <v>25</v>
      </c>
      <c r="E5">
        <v>2130</v>
      </c>
      <c r="F5">
        <v>3901101000</v>
      </c>
    </row>
    <row r="6" spans="1:8" x14ac:dyDescent="0.3">
      <c r="A6" t="s">
        <v>12</v>
      </c>
      <c r="B6" t="s">
        <v>160</v>
      </c>
      <c r="C6" t="s">
        <v>6</v>
      </c>
      <c r="D6" t="s">
        <v>17</v>
      </c>
      <c r="E6">
        <v>2200</v>
      </c>
      <c r="F6">
        <v>2903150000</v>
      </c>
      <c r="G6" t="s">
        <v>34</v>
      </c>
    </row>
    <row r="7" spans="1:8" x14ac:dyDescent="0.3">
      <c r="A7" t="s">
        <v>13</v>
      </c>
      <c r="B7" t="s">
        <v>49</v>
      </c>
      <c r="C7" t="s">
        <v>6</v>
      </c>
      <c r="D7" t="s">
        <v>31</v>
      </c>
      <c r="E7">
        <v>2210</v>
      </c>
      <c r="F7">
        <v>2903210000</v>
      </c>
      <c r="G7" t="s">
        <v>35</v>
      </c>
    </row>
    <row r="8" spans="1:8" x14ac:dyDescent="0.3">
      <c r="A8" t="s">
        <v>15</v>
      </c>
      <c r="B8" t="s">
        <v>36</v>
      </c>
      <c r="C8" t="s">
        <v>6</v>
      </c>
      <c r="D8" t="s">
        <v>25</v>
      </c>
      <c r="E8">
        <v>2220</v>
      </c>
      <c r="G8" t="s">
        <v>174</v>
      </c>
    </row>
    <row r="9" spans="1:8" x14ac:dyDescent="0.3">
      <c r="A9" t="s">
        <v>18</v>
      </c>
      <c r="B9" t="s">
        <v>41</v>
      </c>
      <c r="C9" t="s">
        <v>6</v>
      </c>
      <c r="D9" t="s">
        <v>17</v>
      </c>
      <c r="E9">
        <v>2400</v>
      </c>
      <c r="F9">
        <v>2207200000</v>
      </c>
    </row>
    <row r="10" spans="1:8" x14ac:dyDescent="0.3">
      <c r="A10" t="s">
        <v>19</v>
      </c>
      <c r="B10" t="s">
        <v>43</v>
      </c>
      <c r="C10" t="s">
        <v>6</v>
      </c>
      <c r="D10" t="s">
        <v>17</v>
      </c>
      <c r="E10">
        <v>2500</v>
      </c>
      <c r="H10" t="s">
        <v>149</v>
      </c>
    </row>
    <row r="11" spans="1:8" x14ac:dyDescent="0.3">
      <c r="A11" t="s">
        <v>21</v>
      </c>
      <c r="B11" t="s">
        <v>37</v>
      </c>
      <c r="C11" t="s">
        <v>6</v>
      </c>
      <c r="D11" t="s">
        <v>17</v>
      </c>
      <c r="E11">
        <v>2420</v>
      </c>
      <c r="F11">
        <v>2915310000</v>
      </c>
    </row>
    <row r="12" spans="1:8" x14ac:dyDescent="0.3">
      <c r="A12" t="s">
        <v>23</v>
      </c>
      <c r="B12" t="s">
        <v>38</v>
      </c>
      <c r="C12" t="s">
        <v>6</v>
      </c>
      <c r="D12" t="s">
        <v>17</v>
      </c>
      <c r="E12">
        <v>2510</v>
      </c>
      <c r="F12">
        <v>2916121000</v>
      </c>
    </row>
    <row r="13" spans="1:8" x14ac:dyDescent="0.3">
      <c r="A13" t="s">
        <v>52</v>
      </c>
      <c r="B13" t="s">
        <v>171</v>
      </c>
      <c r="C13" t="s">
        <v>6</v>
      </c>
      <c r="D13" t="s">
        <v>17</v>
      </c>
      <c r="E13">
        <v>2300</v>
      </c>
      <c r="F13">
        <v>2910100000</v>
      </c>
      <c r="G13" t="s">
        <v>44</v>
      </c>
    </row>
    <row r="14" spans="1:8" x14ac:dyDescent="0.3">
      <c r="A14" t="s">
        <v>53</v>
      </c>
      <c r="B14" t="s">
        <v>45</v>
      </c>
      <c r="C14" t="s">
        <v>6</v>
      </c>
      <c r="D14" t="s">
        <v>17</v>
      </c>
      <c r="E14">
        <v>2310</v>
      </c>
      <c r="H14" t="s">
        <v>149</v>
      </c>
    </row>
    <row r="15" spans="1:8" x14ac:dyDescent="0.3">
      <c r="A15" t="s">
        <v>54</v>
      </c>
      <c r="B15" t="s">
        <v>46</v>
      </c>
      <c r="C15" t="s">
        <v>6</v>
      </c>
      <c r="D15" t="s">
        <v>17</v>
      </c>
      <c r="E15">
        <v>2320</v>
      </c>
      <c r="F15">
        <v>2922111000</v>
      </c>
      <c r="G15" t="s">
        <v>175</v>
      </c>
    </row>
    <row r="16" spans="1:8" x14ac:dyDescent="0.3">
      <c r="A16" t="s">
        <v>55</v>
      </c>
      <c r="B16" t="s">
        <v>47</v>
      </c>
      <c r="C16" t="s">
        <v>6</v>
      </c>
      <c r="D16" t="s">
        <v>17</v>
      </c>
      <c r="E16">
        <v>2330</v>
      </c>
      <c r="F16">
        <v>2922121000</v>
      </c>
      <c r="G16" t="s">
        <v>176</v>
      </c>
    </row>
    <row r="17" spans="1:8" x14ac:dyDescent="0.3">
      <c r="A17" t="s">
        <v>56</v>
      </c>
      <c r="B17" t="s">
        <v>48</v>
      </c>
      <c r="C17" t="s">
        <v>6</v>
      </c>
      <c r="D17" t="s">
        <v>17</v>
      </c>
      <c r="E17">
        <v>2340</v>
      </c>
      <c r="F17">
        <v>2922150000</v>
      </c>
      <c r="G17" t="s">
        <v>177</v>
      </c>
    </row>
    <row r="18" spans="1:8" x14ac:dyDescent="0.3">
      <c r="A18" t="s">
        <v>57</v>
      </c>
      <c r="B18" t="s">
        <v>179</v>
      </c>
      <c r="C18" t="s">
        <v>6</v>
      </c>
      <c r="D18" t="s">
        <v>17</v>
      </c>
      <c r="E18">
        <v>2380</v>
      </c>
      <c r="F18">
        <v>2905310000</v>
      </c>
      <c r="G18" t="s">
        <v>178</v>
      </c>
    </row>
    <row r="19" spans="1:8" x14ac:dyDescent="0.3">
      <c r="A19" t="s">
        <v>58</v>
      </c>
      <c r="B19" t="s">
        <v>39</v>
      </c>
      <c r="C19" t="s">
        <v>6</v>
      </c>
      <c r="D19" t="s">
        <v>17</v>
      </c>
      <c r="E19">
        <v>2410</v>
      </c>
      <c r="F19">
        <v>2912120000</v>
      </c>
      <c r="H19" t="s">
        <v>149</v>
      </c>
    </row>
    <row r="20" spans="1:8" x14ac:dyDescent="0.3">
      <c r="A20" t="s">
        <v>59</v>
      </c>
      <c r="B20" t="s">
        <v>50</v>
      </c>
      <c r="C20" t="s">
        <v>6</v>
      </c>
      <c r="D20" t="s">
        <v>31</v>
      </c>
      <c r="E20">
        <v>2600</v>
      </c>
      <c r="F20">
        <v>2915320000</v>
      </c>
      <c r="G20" t="s">
        <v>40</v>
      </c>
    </row>
    <row r="21" spans="1:8" x14ac:dyDescent="0.3">
      <c r="A21" t="s">
        <v>60</v>
      </c>
      <c r="B21" t="s">
        <v>8</v>
      </c>
      <c r="C21" t="s">
        <v>8</v>
      </c>
      <c r="D21" t="s">
        <v>7</v>
      </c>
      <c r="E21">
        <v>3100</v>
      </c>
      <c r="F21">
        <v>2901220000</v>
      </c>
      <c r="G21" t="s">
        <v>170</v>
      </c>
    </row>
    <row r="22" spans="1:8" x14ac:dyDescent="0.3">
      <c r="A22" t="s">
        <v>61</v>
      </c>
      <c r="B22" t="s">
        <v>161</v>
      </c>
      <c r="C22" t="s">
        <v>8</v>
      </c>
      <c r="D22" t="s">
        <v>31</v>
      </c>
      <c r="E22">
        <v>3200</v>
      </c>
      <c r="F22">
        <v>2926100000</v>
      </c>
      <c r="G22" t="s">
        <v>110</v>
      </c>
    </row>
    <row r="23" spans="1:8" x14ac:dyDescent="0.3">
      <c r="A23" t="s">
        <v>62</v>
      </c>
      <c r="B23" t="s">
        <v>111</v>
      </c>
      <c r="C23" t="s">
        <v>8</v>
      </c>
      <c r="D23" t="s">
        <v>25</v>
      </c>
      <c r="E23">
        <v>3210</v>
      </c>
      <c r="F23">
        <v>3903300000</v>
      </c>
      <c r="G23" t="s">
        <v>180</v>
      </c>
    </row>
    <row r="24" spans="1:8" x14ac:dyDescent="0.3">
      <c r="A24" t="s">
        <v>63</v>
      </c>
      <c r="B24" t="s">
        <v>112</v>
      </c>
      <c r="C24" t="s">
        <v>8</v>
      </c>
      <c r="D24" t="s">
        <v>25</v>
      </c>
      <c r="E24">
        <v>3220</v>
      </c>
      <c r="F24">
        <v>3903200000</v>
      </c>
      <c r="G24" t="s">
        <v>181</v>
      </c>
      <c r="H24" t="s">
        <v>149</v>
      </c>
    </row>
    <row r="25" spans="1:8" x14ac:dyDescent="0.3">
      <c r="A25" t="s">
        <v>64</v>
      </c>
      <c r="B25" t="s">
        <v>95</v>
      </c>
      <c r="C25" t="s">
        <v>8</v>
      </c>
      <c r="D25" t="s">
        <v>25</v>
      </c>
      <c r="E25">
        <v>3230</v>
      </c>
      <c r="G25" t="s">
        <v>182</v>
      </c>
    </row>
    <row r="26" spans="1:8" x14ac:dyDescent="0.3">
      <c r="A26" t="s">
        <v>65</v>
      </c>
      <c r="B26" t="s">
        <v>147</v>
      </c>
      <c r="C26" t="s">
        <v>8</v>
      </c>
      <c r="D26" t="s">
        <v>25</v>
      </c>
      <c r="E26">
        <v>3110</v>
      </c>
      <c r="F26">
        <v>3902100000</v>
      </c>
      <c r="G26" t="s">
        <v>96</v>
      </c>
    </row>
    <row r="27" spans="1:8" x14ac:dyDescent="0.3">
      <c r="A27" t="s">
        <v>66</v>
      </c>
      <c r="B27" t="s">
        <v>146</v>
      </c>
      <c r="C27" t="s">
        <v>8</v>
      </c>
      <c r="D27" t="s">
        <v>17</v>
      </c>
      <c r="E27">
        <v>3300</v>
      </c>
      <c r="F27">
        <v>2910200000</v>
      </c>
      <c r="G27" t="s">
        <v>97</v>
      </c>
    </row>
    <row r="28" spans="1:8" x14ac:dyDescent="0.3">
      <c r="A28" t="s">
        <v>67</v>
      </c>
      <c r="B28" t="s">
        <v>144</v>
      </c>
      <c r="C28" t="s">
        <v>8</v>
      </c>
      <c r="D28" t="s">
        <v>17</v>
      </c>
      <c r="E28">
        <v>3310</v>
      </c>
      <c r="F28">
        <v>2905320000</v>
      </c>
      <c r="G28" t="s">
        <v>98</v>
      </c>
    </row>
    <row r="29" spans="1:8" x14ac:dyDescent="0.3">
      <c r="A29" t="s">
        <v>68</v>
      </c>
      <c r="B29" t="s">
        <v>145</v>
      </c>
      <c r="C29" t="s">
        <v>8</v>
      </c>
      <c r="D29" t="s">
        <v>17</v>
      </c>
      <c r="E29">
        <v>3320</v>
      </c>
      <c r="G29" t="s">
        <v>99</v>
      </c>
    </row>
    <row r="30" spans="1:8" x14ac:dyDescent="0.3">
      <c r="A30" t="s">
        <v>69</v>
      </c>
      <c r="B30" t="s">
        <v>100</v>
      </c>
      <c r="C30" t="s">
        <v>8</v>
      </c>
      <c r="D30" t="s">
        <v>17</v>
      </c>
      <c r="E30">
        <v>3330</v>
      </c>
    </row>
    <row r="31" spans="1:8" x14ac:dyDescent="0.3">
      <c r="A31" t="s">
        <v>70</v>
      </c>
      <c r="B31" t="s">
        <v>148</v>
      </c>
      <c r="C31" t="s">
        <v>8</v>
      </c>
      <c r="D31" t="s">
        <v>25</v>
      </c>
      <c r="E31">
        <v>3340</v>
      </c>
      <c r="F31">
        <v>3909500000</v>
      </c>
      <c r="G31" t="s">
        <v>253</v>
      </c>
    </row>
    <row r="32" spans="1:8" x14ac:dyDescent="0.3">
      <c r="A32" t="s">
        <v>71</v>
      </c>
      <c r="B32" t="s">
        <v>103</v>
      </c>
      <c r="C32" t="s">
        <v>8</v>
      </c>
      <c r="D32" t="s">
        <v>17</v>
      </c>
      <c r="E32">
        <v>3400</v>
      </c>
      <c r="F32">
        <v>2916111000</v>
      </c>
      <c r="G32" t="s">
        <v>104</v>
      </c>
    </row>
    <row r="33" spans="1:7" x14ac:dyDescent="0.3">
      <c r="A33" t="s">
        <v>72</v>
      </c>
      <c r="B33" t="s">
        <v>105</v>
      </c>
      <c r="C33" t="s">
        <v>8</v>
      </c>
      <c r="D33" t="s">
        <v>25</v>
      </c>
      <c r="E33">
        <v>3420</v>
      </c>
    </row>
    <row r="34" spans="1:7" x14ac:dyDescent="0.3">
      <c r="A34" t="s">
        <v>73</v>
      </c>
      <c r="B34" t="s">
        <v>151</v>
      </c>
      <c r="C34" t="s">
        <v>8</v>
      </c>
      <c r="D34" t="s">
        <v>17</v>
      </c>
      <c r="E34">
        <v>3410</v>
      </c>
    </row>
    <row r="35" spans="1:7" x14ac:dyDescent="0.3">
      <c r="A35" t="s">
        <v>74</v>
      </c>
      <c r="B35" t="s">
        <v>106</v>
      </c>
      <c r="C35" t="s">
        <v>8</v>
      </c>
      <c r="D35" t="s">
        <v>25</v>
      </c>
      <c r="E35">
        <v>3430</v>
      </c>
      <c r="G35" t="s">
        <v>113</v>
      </c>
    </row>
    <row r="36" spans="1:7" x14ac:dyDescent="0.3">
      <c r="A36" t="s">
        <v>75</v>
      </c>
      <c r="B36" t="s">
        <v>107</v>
      </c>
      <c r="C36" t="s">
        <v>8</v>
      </c>
      <c r="D36" t="s">
        <v>17</v>
      </c>
      <c r="E36">
        <v>3500</v>
      </c>
      <c r="F36">
        <v>2912193000</v>
      </c>
    </row>
    <row r="37" spans="1:7" x14ac:dyDescent="0.3">
      <c r="A37" t="s">
        <v>76</v>
      </c>
      <c r="B37" t="s">
        <v>114</v>
      </c>
      <c r="C37" t="s">
        <v>8</v>
      </c>
      <c r="D37" t="s">
        <v>17</v>
      </c>
      <c r="E37">
        <v>3520</v>
      </c>
      <c r="F37">
        <v>2905161000</v>
      </c>
      <c r="G37" t="s">
        <v>318</v>
      </c>
    </row>
    <row r="38" spans="1:7" x14ac:dyDescent="0.3">
      <c r="A38" t="s">
        <v>77</v>
      </c>
      <c r="B38" t="s">
        <v>320</v>
      </c>
      <c r="C38" t="s">
        <v>8</v>
      </c>
      <c r="D38" t="s">
        <v>17</v>
      </c>
      <c r="E38">
        <v>3510</v>
      </c>
      <c r="F38">
        <v>2905130000</v>
      </c>
    </row>
    <row r="39" spans="1:7" x14ac:dyDescent="0.3">
      <c r="A39" t="s">
        <v>78</v>
      </c>
      <c r="B39" t="s">
        <v>115</v>
      </c>
      <c r="C39" t="s">
        <v>8</v>
      </c>
      <c r="D39" t="s">
        <v>17</v>
      </c>
      <c r="E39">
        <v>3530</v>
      </c>
    </row>
    <row r="40" spans="1:7" x14ac:dyDescent="0.3">
      <c r="A40" t="s">
        <v>79</v>
      </c>
      <c r="B40" t="s">
        <v>109</v>
      </c>
      <c r="C40" t="s">
        <v>8</v>
      </c>
      <c r="D40" t="s">
        <v>17</v>
      </c>
      <c r="E40">
        <v>3700</v>
      </c>
    </row>
    <row r="41" spans="1:7" x14ac:dyDescent="0.3">
      <c r="A41" t="s">
        <v>80</v>
      </c>
      <c r="B41" t="s">
        <v>116</v>
      </c>
      <c r="C41" t="s">
        <v>8</v>
      </c>
      <c r="D41" t="s">
        <v>17</v>
      </c>
      <c r="E41">
        <v>3710</v>
      </c>
    </row>
    <row r="42" spans="1:7" x14ac:dyDescent="0.3">
      <c r="A42" t="s">
        <v>81</v>
      </c>
      <c r="B42" t="s">
        <v>162</v>
      </c>
      <c r="C42" t="s">
        <v>8</v>
      </c>
      <c r="D42" t="s">
        <v>17</v>
      </c>
      <c r="E42">
        <v>3600</v>
      </c>
      <c r="F42">
        <v>2905121000</v>
      </c>
      <c r="G42" t="s">
        <v>203</v>
      </c>
    </row>
    <row r="43" spans="1:7" x14ac:dyDescent="0.3">
      <c r="A43" t="s">
        <v>82</v>
      </c>
      <c r="B43" t="s">
        <v>117</v>
      </c>
      <c r="C43" t="s">
        <v>8</v>
      </c>
      <c r="D43" t="s">
        <v>17</v>
      </c>
      <c r="E43">
        <v>3610</v>
      </c>
      <c r="F43" t="s">
        <v>259</v>
      </c>
    </row>
    <row r="44" spans="1:7" x14ac:dyDescent="0.3">
      <c r="A44" t="s">
        <v>83</v>
      </c>
      <c r="B44" s="1" t="s">
        <v>26</v>
      </c>
      <c r="C44" s="1" t="s">
        <v>14</v>
      </c>
      <c r="D44" s="1" t="s">
        <v>156</v>
      </c>
      <c r="E44" s="1">
        <v>4100</v>
      </c>
      <c r="F44">
        <v>2901241000</v>
      </c>
      <c r="G44" t="s">
        <v>173</v>
      </c>
    </row>
    <row r="45" spans="1:7" x14ac:dyDescent="0.3">
      <c r="A45" t="s">
        <v>84</v>
      </c>
      <c r="B45" s="1" t="s">
        <v>118</v>
      </c>
      <c r="C45" s="1" t="s">
        <v>14</v>
      </c>
      <c r="D45" s="1" t="s">
        <v>25</v>
      </c>
      <c r="E45" s="1">
        <v>4110</v>
      </c>
    </row>
    <row r="46" spans="1:7" x14ac:dyDescent="0.3">
      <c r="A46" t="s">
        <v>85</v>
      </c>
      <c r="B46" s="1" t="s">
        <v>119</v>
      </c>
      <c r="C46" s="1" t="s">
        <v>14</v>
      </c>
      <c r="D46" s="1" t="s">
        <v>25</v>
      </c>
      <c r="E46" s="1">
        <v>4120</v>
      </c>
      <c r="F46">
        <v>3903901000</v>
      </c>
    </row>
    <row r="47" spans="1:7" x14ac:dyDescent="0.3">
      <c r="A47" t="s">
        <v>86</v>
      </c>
      <c r="B47" s="1" t="s">
        <v>27</v>
      </c>
      <c r="C47" s="1" t="s">
        <v>14</v>
      </c>
      <c r="D47" s="1" t="s">
        <v>156</v>
      </c>
      <c r="E47" s="1">
        <v>4200</v>
      </c>
    </row>
    <row r="48" spans="1:7" x14ac:dyDescent="0.3">
      <c r="A48" t="s">
        <v>87</v>
      </c>
      <c r="B48" s="1" t="s">
        <v>121</v>
      </c>
      <c r="C48" s="1" t="s">
        <v>14</v>
      </c>
      <c r="D48" s="1" t="s">
        <v>25</v>
      </c>
      <c r="E48" s="1">
        <v>4210</v>
      </c>
      <c r="F48">
        <v>3902200000</v>
      </c>
      <c r="G48" s="1" t="s">
        <v>120</v>
      </c>
    </row>
    <row r="49" spans="1:8" x14ac:dyDescent="0.3">
      <c r="A49" t="s">
        <v>88</v>
      </c>
      <c r="B49" s="1" t="s">
        <v>126</v>
      </c>
      <c r="C49" s="1" t="s">
        <v>14</v>
      </c>
      <c r="D49" s="1" t="s">
        <v>25</v>
      </c>
      <c r="E49" s="1">
        <v>4330</v>
      </c>
      <c r="G49" s="1" t="s">
        <v>125</v>
      </c>
    </row>
    <row r="50" spans="1:8" x14ac:dyDescent="0.3">
      <c r="A50" t="s">
        <v>89</v>
      </c>
      <c r="B50" s="1" t="s">
        <v>122</v>
      </c>
      <c r="C50" s="1" t="s">
        <v>14</v>
      </c>
      <c r="D50" s="1" t="s">
        <v>249</v>
      </c>
      <c r="E50" s="1">
        <v>4230</v>
      </c>
      <c r="F50">
        <v>2909192000</v>
      </c>
    </row>
    <row r="51" spans="1:8" x14ac:dyDescent="0.3">
      <c r="A51" t="s">
        <v>90</v>
      </c>
      <c r="B51" s="1" t="s">
        <v>124</v>
      </c>
      <c r="C51" s="1" t="s">
        <v>14</v>
      </c>
      <c r="D51" s="1" t="s">
        <v>25</v>
      </c>
      <c r="E51" s="1">
        <v>4220</v>
      </c>
      <c r="H51" t="s">
        <v>149</v>
      </c>
    </row>
    <row r="52" spans="1:8" x14ac:dyDescent="0.3">
      <c r="A52" t="s">
        <v>91</v>
      </c>
      <c r="B52" s="1" t="s">
        <v>123</v>
      </c>
      <c r="C52" s="1" t="s">
        <v>14</v>
      </c>
      <c r="D52" s="1" t="s">
        <v>17</v>
      </c>
      <c r="E52" s="1">
        <v>4300</v>
      </c>
    </row>
    <row r="53" spans="1:8" x14ac:dyDescent="0.3">
      <c r="A53" t="s">
        <v>92</v>
      </c>
      <c r="B53" s="1" t="s">
        <v>16</v>
      </c>
      <c r="C53" s="1" t="s">
        <v>14</v>
      </c>
      <c r="D53" s="1" t="s">
        <v>156</v>
      </c>
      <c r="E53" s="1">
        <v>4310</v>
      </c>
    </row>
    <row r="54" spans="1:8" x14ac:dyDescent="0.3">
      <c r="A54" t="s">
        <v>93</v>
      </c>
      <c r="B54" s="1" t="s">
        <v>28</v>
      </c>
      <c r="C54" s="1" t="s">
        <v>14</v>
      </c>
      <c r="D54" s="1" t="s">
        <v>17</v>
      </c>
      <c r="E54" s="1">
        <v>4320</v>
      </c>
    </row>
    <row r="55" spans="1:8" x14ac:dyDescent="0.3">
      <c r="A55" t="s">
        <v>94</v>
      </c>
      <c r="B55" s="1" t="s">
        <v>10</v>
      </c>
      <c r="C55" s="1" t="s">
        <v>10</v>
      </c>
      <c r="D55" s="1" t="s">
        <v>7</v>
      </c>
      <c r="E55" s="1">
        <v>6000</v>
      </c>
      <c r="F55">
        <v>2902200000</v>
      </c>
      <c r="G55" s="1"/>
    </row>
    <row r="56" spans="1:8" x14ac:dyDescent="0.3">
      <c r="A56" t="s">
        <v>127</v>
      </c>
      <c r="B56" s="1" t="s">
        <v>20</v>
      </c>
      <c r="C56" s="1" t="s">
        <v>10</v>
      </c>
      <c r="D56" s="1" t="s">
        <v>17</v>
      </c>
      <c r="E56" s="1">
        <v>6100</v>
      </c>
      <c r="F56">
        <v>2902600000</v>
      </c>
      <c r="G56" s="1" t="s">
        <v>166</v>
      </c>
    </row>
    <row r="57" spans="1:8" x14ac:dyDescent="0.3">
      <c r="A57" t="s">
        <v>128</v>
      </c>
      <c r="B57" s="1" t="s">
        <v>22</v>
      </c>
      <c r="C57" s="1" t="s">
        <v>10</v>
      </c>
      <c r="D57" s="1" t="s">
        <v>31</v>
      </c>
      <c r="E57" s="1">
        <v>6110</v>
      </c>
      <c r="F57">
        <v>2902500000</v>
      </c>
      <c r="G57" s="1"/>
    </row>
    <row r="58" spans="1:8" x14ac:dyDescent="0.3">
      <c r="A58" t="s">
        <v>134</v>
      </c>
      <c r="B58" s="1" t="s">
        <v>167</v>
      </c>
      <c r="C58" s="1" t="s">
        <v>10</v>
      </c>
      <c r="D58" s="1" t="s">
        <v>25</v>
      </c>
      <c r="E58" s="1">
        <v>6120</v>
      </c>
      <c r="G58" s="1" t="s">
        <v>24</v>
      </c>
    </row>
    <row r="59" spans="1:8" x14ac:dyDescent="0.3">
      <c r="A59" t="s">
        <v>135</v>
      </c>
      <c r="B59" s="1" t="s">
        <v>29</v>
      </c>
      <c r="C59" s="1" t="s">
        <v>10</v>
      </c>
      <c r="D59" s="1" t="s">
        <v>17</v>
      </c>
      <c r="E59" s="1">
        <v>6200</v>
      </c>
      <c r="F59">
        <v>2902700000</v>
      </c>
      <c r="G59" s="1"/>
    </row>
    <row r="60" spans="1:8" x14ac:dyDescent="0.3">
      <c r="A60" t="s">
        <v>136</v>
      </c>
      <c r="B60" s="1" t="s">
        <v>101</v>
      </c>
      <c r="C60" s="1" t="s">
        <v>10</v>
      </c>
      <c r="D60" s="1" t="s">
        <v>17</v>
      </c>
      <c r="E60" s="1">
        <v>6210</v>
      </c>
      <c r="F60">
        <v>2907111000</v>
      </c>
      <c r="G60" s="1"/>
    </row>
    <row r="61" spans="1:8" x14ac:dyDescent="0.3">
      <c r="A61" t="s">
        <v>137</v>
      </c>
      <c r="B61" s="1" t="s">
        <v>102</v>
      </c>
      <c r="C61" s="1" t="s">
        <v>10</v>
      </c>
      <c r="D61" s="1" t="s">
        <v>42</v>
      </c>
      <c r="E61" s="1">
        <v>6220</v>
      </c>
      <c r="F61">
        <v>2914110000</v>
      </c>
      <c r="G61" s="1"/>
    </row>
    <row r="62" spans="1:8" x14ac:dyDescent="0.3">
      <c r="A62" t="s">
        <v>138</v>
      </c>
      <c r="B62" s="1" t="s">
        <v>168</v>
      </c>
      <c r="C62" s="1" t="s">
        <v>10</v>
      </c>
      <c r="D62" s="1" t="s">
        <v>17</v>
      </c>
      <c r="E62" s="1">
        <v>6230</v>
      </c>
      <c r="F62">
        <v>2907231000</v>
      </c>
      <c r="G62" s="1" t="s">
        <v>131</v>
      </c>
    </row>
    <row r="63" spans="1:8" x14ac:dyDescent="0.3">
      <c r="A63" t="s">
        <v>139</v>
      </c>
      <c r="B63" s="1" t="s">
        <v>169</v>
      </c>
      <c r="C63" s="1" t="s">
        <v>10</v>
      </c>
      <c r="D63" s="1" t="s">
        <v>25</v>
      </c>
      <c r="E63" s="1">
        <v>6240</v>
      </c>
      <c r="F63">
        <v>3907400000</v>
      </c>
      <c r="G63" s="1" t="s">
        <v>132</v>
      </c>
    </row>
    <row r="64" spans="1:8" x14ac:dyDescent="0.3">
      <c r="A64" t="s">
        <v>140</v>
      </c>
      <c r="B64" s="1" t="s">
        <v>133</v>
      </c>
      <c r="C64" s="1" t="s">
        <v>10</v>
      </c>
      <c r="D64" s="1" t="s">
        <v>249</v>
      </c>
      <c r="E64" s="1">
        <v>6250</v>
      </c>
      <c r="G64" s="1"/>
    </row>
    <row r="65" spans="1:7" x14ac:dyDescent="0.3">
      <c r="A65" t="s">
        <v>141</v>
      </c>
      <c r="B65" s="1" t="s">
        <v>130</v>
      </c>
      <c r="C65" s="1" t="s">
        <v>10</v>
      </c>
      <c r="D65" s="1" t="s">
        <v>17</v>
      </c>
      <c r="E65" s="1">
        <v>6300</v>
      </c>
      <c r="F65">
        <v>2902110000</v>
      </c>
      <c r="G65" s="1"/>
    </row>
    <row r="66" spans="1:7" x14ac:dyDescent="0.3">
      <c r="A66" t="s">
        <v>142</v>
      </c>
      <c r="B66" s="1" t="s">
        <v>129</v>
      </c>
      <c r="C66" s="1" t="s">
        <v>10</v>
      </c>
      <c r="D66" s="1" t="s">
        <v>17</v>
      </c>
      <c r="E66" s="1">
        <v>6320</v>
      </c>
      <c r="F66">
        <v>2921411000</v>
      </c>
      <c r="G66" s="1"/>
    </row>
    <row r="67" spans="1:7" x14ac:dyDescent="0.3">
      <c r="A67" t="s">
        <v>143</v>
      </c>
      <c r="B67" s="1" t="s">
        <v>153</v>
      </c>
      <c r="C67" s="1" t="s">
        <v>10</v>
      </c>
      <c r="D67" s="1" t="s">
        <v>17</v>
      </c>
      <c r="E67" s="1">
        <v>6400</v>
      </c>
      <c r="G67" t="s">
        <v>154</v>
      </c>
    </row>
    <row r="68" spans="1:7" x14ac:dyDescent="0.3">
      <c r="A68" t="s">
        <v>155</v>
      </c>
      <c r="B68" s="1" t="s">
        <v>152</v>
      </c>
      <c r="C68" s="1" t="s">
        <v>10</v>
      </c>
      <c r="D68" s="1" t="s">
        <v>17</v>
      </c>
      <c r="E68" s="1">
        <v>6310</v>
      </c>
      <c r="F68">
        <v>2914221000</v>
      </c>
      <c r="G68" s="1"/>
    </row>
    <row r="69" spans="1:7" x14ac:dyDescent="0.3">
      <c r="A69" t="s">
        <v>164</v>
      </c>
      <c r="B69" t="s">
        <v>158</v>
      </c>
      <c r="C69" t="s">
        <v>157</v>
      </c>
      <c r="D69" t="s">
        <v>193</v>
      </c>
      <c r="E69">
        <v>6500</v>
      </c>
      <c r="F69">
        <v>2917140000</v>
      </c>
      <c r="G69" t="s">
        <v>165</v>
      </c>
    </row>
    <row r="70" spans="1:7" x14ac:dyDescent="0.3">
      <c r="A70" t="s">
        <v>183</v>
      </c>
      <c r="B70" t="s">
        <v>159</v>
      </c>
      <c r="C70" t="s">
        <v>159</v>
      </c>
      <c r="D70" t="s">
        <v>156</v>
      </c>
      <c r="E70">
        <v>100</v>
      </c>
      <c r="F70">
        <v>2905110000</v>
      </c>
    </row>
    <row r="71" spans="1:7" x14ac:dyDescent="0.3">
      <c r="A71" t="s">
        <v>184</v>
      </c>
      <c r="B71" t="s">
        <v>163</v>
      </c>
      <c r="C71" t="s">
        <v>159</v>
      </c>
      <c r="D71" t="s">
        <v>186</v>
      </c>
      <c r="E71">
        <v>200</v>
      </c>
      <c r="F71">
        <v>2915210000</v>
      </c>
    </row>
    <row r="72" spans="1:7" x14ac:dyDescent="0.3">
      <c r="A72" t="s">
        <v>185</v>
      </c>
      <c r="B72" t="s">
        <v>187</v>
      </c>
      <c r="C72" t="s">
        <v>187</v>
      </c>
      <c r="D72" t="s">
        <v>156</v>
      </c>
      <c r="E72">
        <v>7000</v>
      </c>
      <c r="F72">
        <v>2902300000</v>
      </c>
    </row>
    <row r="73" spans="1:7" x14ac:dyDescent="0.3">
      <c r="A73" t="s">
        <v>188</v>
      </c>
      <c r="B73" t="s">
        <v>189</v>
      </c>
      <c r="C73" t="s">
        <v>189</v>
      </c>
      <c r="D73" t="s">
        <v>156</v>
      </c>
      <c r="E73">
        <v>8000</v>
      </c>
      <c r="F73" s="2">
        <v>2707300000</v>
      </c>
    </row>
    <row r="74" spans="1:7" x14ac:dyDescent="0.3">
      <c r="A74" t="s">
        <v>190</v>
      </c>
      <c r="B74" t="s">
        <v>191</v>
      </c>
      <c r="C74" t="s">
        <v>189</v>
      </c>
      <c r="D74" t="s">
        <v>193</v>
      </c>
      <c r="E74">
        <v>8110</v>
      </c>
      <c r="F74">
        <v>2917350000</v>
      </c>
      <c r="G74" t="s">
        <v>192</v>
      </c>
    </row>
    <row r="75" spans="1:7" x14ac:dyDescent="0.3">
      <c r="A75" t="s">
        <v>201</v>
      </c>
      <c r="B75" t="s">
        <v>204</v>
      </c>
      <c r="C75" t="s">
        <v>157</v>
      </c>
      <c r="D75" t="s">
        <v>194</v>
      </c>
      <c r="E75">
        <v>6330</v>
      </c>
      <c r="F75">
        <v>2933710000</v>
      </c>
    </row>
    <row r="76" spans="1:7" x14ac:dyDescent="0.3">
      <c r="A76" t="s">
        <v>205</v>
      </c>
      <c r="B76" t="s">
        <v>208</v>
      </c>
      <c r="C76" t="s">
        <v>210</v>
      </c>
      <c r="D76" t="s">
        <v>193</v>
      </c>
      <c r="E76">
        <v>2700</v>
      </c>
      <c r="G76" t="s">
        <v>212</v>
      </c>
    </row>
    <row r="77" spans="1:7" x14ac:dyDescent="0.3">
      <c r="A77" t="s">
        <v>206</v>
      </c>
      <c r="B77" t="s">
        <v>209</v>
      </c>
      <c r="C77" t="s">
        <v>210</v>
      </c>
      <c r="D77" t="s">
        <v>193</v>
      </c>
      <c r="E77">
        <v>2900</v>
      </c>
      <c r="F77">
        <v>2901291000</v>
      </c>
      <c r="G77" t="s">
        <v>323</v>
      </c>
    </row>
    <row r="78" spans="1:7" x14ac:dyDescent="0.3">
      <c r="A78" t="s">
        <v>207</v>
      </c>
      <c r="B78" t="s">
        <v>211</v>
      </c>
      <c r="C78" t="s">
        <v>210</v>
      </c>
      <c r="D78" t="s">
        <v>217</v>
      </c>
      <c r="E78">
        <v>2720</v>
      </c>
    </row>
    <row r="79" spans="1:7" x14ac:dyDescent="0.3">
      <c r="A79" t="s">
        <v>213</v>
      </c>
      <c r="B79" t="s">
        <v>215</v>
      </c>
      <c r="C79" t="s">
        <v>159</v>
      </c>
      <c r="D79" t="s">
        <v>194</v>
      </c>
      <c r="E79">
        <v>400</v>
      </c>
      <c r="F79">
        <v>2916141000</v>
      </c>
      <c r="G79" t="s">
        <v>219</v>
      </c>
    </row>
    <row r="80" spans="1:7" x14ac:dyDescent="0.3">
      <c r="A80" t="s">
        <v>214</v>
      </c>
      <c r="B80" t="s">
        <v>216</v>
      </c>
      <c r="C80" t="s">
        <v>159</v>
      </c>
      <c r="D80" t="s">
        <v>217</v>
      </c>
      <c r="E80">
        <v>410</v>
      </c>
      <c r="F80">
        <v>3906100000</v>
      </c>
      <c r="G80" t="s">
        <v>218</v>
      </c>
    </row>
    <row r="81" spans="1:7" x14ac:dyDescent="0.3">
      <c r="A81" t="s">
        <v>220</v>
      </c>
      <c r="B81" t="s">
        <v>221</v>
      </c>
      <c r="C81" t="s">
        <v>159</v>
      </c>
      <c r="D81" t="s">
        <v>193</v>
      </c>
      <c r="E81">
        <v>300</v>
      </c>
      <c r="F81">
        <v>2912110000</v>
      </c>
      <c r="G81" t="s">
        <v>218</v>
      </c>
    </row>
    <row r="82" spans="1:7" x14ac:dyDescent="0.3">
      <c r="A82" t="s">
        <v>222</v>
      </c>
      <c r="B82" t="s">
        <v>224</v>
      </c>
      <c r="C82" t="s">
        <v>210</v>
      </c>
      <c r="D82" t="s">
        <v>17</v>
      </c>
      <c r="E82">
        <v>2360</v>
      </c>
      <c r="G82" t="s">
        <v>225</v>
      </c>
    </row>
    <row r="83" spans="1:7" x14ac:dyDescent="0.3">
      <c r="A83" t="s">
        <v>223</v>
      </c>
      <c r="B83" t="s">
        <v>226</v>
      </c>
      <c r="C83" t="s">
        <v>210</v>
      </c>
      <c r="D83" t="s">
        <v>17</v>
      </c>
      <c r="E83">
        <v>2370</v>
      </c>
      <c r="G83" t="s">
        <v>227</v>
      </c>
    </row>
    <row r="84" spans="1:7" x14ac:dyDescent="0.3">
      <c r="A84" t="s">
        <v>228</v>
      </c>
      <c r="B84" t="s">
        <v>230</v>
      </c>
      <c r="C84" t="s">
        <v>210</v>
      </c>
      <c r="D84" t="s">
        <v>217</v>
      </c>
      <c r="E84">
        <v>2610</v>
      </c>
      <c r="G84" t="s">
        <v>232</v>
      </c>
    </row>
    <row r="85" spans="1:7" x14ac:dyDescent="0.3">
      <c r="A85" t="s">
        <v>229</v>
      </c>
      <c r="B85" t="s">
        <v>231</v>
      </c>
      <c r="C85" t="s">
        <v>210</v>
      </c>
      <c r="D85" t="s">
        <v>217</v>
      </c>
      <c r="E85">
        <v>2620</v>
      </c>
      <c r="G85" t="s">
        <v>233</v>
      </c>
    </row>
    <row r="86" spans="1:7" x14ac:dyDescent="0.3">
      <c r="A86" t="s">
        <v>234</v>
      </c>
      <c r="B86" t="s">
        <v>236</v>
      </c>
      <c r="C86" t="s">
        <v>157</v>
      </c>
      <c r="D86" t="s">
        <v>193</v>
      </c>
      <c r="E86">
        <v>6410</v>
      </c>
      <c r="F86">
        <v>2929102000</v>
      </c>
      <c r="G86" t="s">
        <v>238</v>
      </c>
    </row>
    <row r="87" spans="1:7" x14ac:dyDescent="0.3">
      <c r="A87" t="s">
        <v>235</v>
      </c>
      <c r="B87" t="s">
        <v>237</v>
      </c>
      <c r="C87" t="s">
        <v>187</v>
      </c>
      <c r="D87" t="s">
        <v>193</v>
      </c>
      <c r="E87">
        <v>7100</v>
      </c>
      <c r="F87">
        <v>2929101000</v>
      </c>
      <c r="G87" t="s">
        <v>239</v>
      </c>
    </row>
    <row r="88" spans="1:7" x14ac:dyDescent="0.3">
      <c r="A88" t="s">
        <v>240</v>
      </c>
      <c r="B88" t="s">
        <v>243</v>
      </c>
      <c r="C88" t="s">
        <v>189</v>
      </c>
      <c r="D88" t="s">
        <v>193</v>
      </c>
      <c r="E88">
        <v>8100</v>
      </c>
      <c r="F88">
        <v>2902410000</v>
      </c>
      <c r="G88" t="s">
        <v>198</v>
      </c>
    </row>
    <row r="89" spans="1:7" x14ac:dyDescent="0.3">
      <c r="A89" t="s">
        <v>241</v>
      </c>
      <c r="B89" t="s">
        <v>244</v>
      </c>
      <c r="C89" t="s">
        <v>189</v>
      </c>
      <c r="D89" t="s">
        <v>193</v>
      </c>
      <c r="E89">
        <v>8200</v>
      </c>
      <c r="F89">
        <v>2902420000</v>
      </c>
      <c r="G89" t="s">
        <v>199</v>
      </c>
    </row>
    <row r="90" spans="1:7" x14ac:dyDescent="0.3">
      <c r="A90" t="s">
        <v>242</v>
      </c>
      <c r="B90" t="s">
        <v>245</v>
      </c>
      <c r="C90" t="s">
        <v>189</v>
      </c>
      <c r="D90" t="s">
        <v>193</v>
      </c>
      <c r="E90">
        <v>8300</v>
      </c>
      <c r="F90">
        <v>2902430000</v>
      </c>
      <c r="G90" t="s">
        <v>200</v>
      </c>
    </row>
    <row r="91" spans="1:7" x14ac:dyDescent="0.3">
      <c r="A91" t="s">
        <v>246</v>
      </c>
      <c r="B91" t="s">
        <v>195</v>
      </c>
      <c r="C91" t="s">
        <v>189</v>
      </c>
      <c r="D91" t="s">
        <v>194</v>
      </c>
      <c r="E91">
        <v>8210</v>
      </c>
      <c r="G91" t="s">
        <v>198</v>
      </c>
    </row>
    <row r="92" spans="1:7" x14ac:dyDescent="0.3">
      <c r="A92" t="s">
        <v>247</v>
      </c>
      <c r="B92" t="s">
        <v>196</v>
      </c>
      <c r="C92" t="s">
        <v>189</v>
      </c>
      <c r="D92" t="s">
        <v>194</v>
      </c>
      <c r="E92">
        <v>8310</v>
      </c>
      <c r="F92">
        <v>2917361000</v>
      </c>
      <c r="G92" t="s">
        <v>199</v>
      </c>
    </row>
    <row r="93" spans="1:7" x14ac:dyDescent="0.3">
      <c r="A93" t="s">
        <v>248</v>
      </c>
      <c r="B93" t="s">
        <v>197</v>
      </c>
      <c r="C93" t="s">
        <v>189</v>
      </c>
      <c r="D93" t="s">
        <v>194</v>
      </c>
      <c r="E93">
        <v>8320</v>
      </c>
      <c r="F93">
        <v>2917370000</v>
      </c>
      <c r="G93" t="s">
        <v>200</v>
      </c>
    </row>
    <row r="94" spans="1:7" x14ac:dyDescent="0.3">
      <c r="A94" t="s">
        <v>250</v>
      </c>
      <c r="B94" t="s">
        <v>251</v>
      </c>
      <c r="C94" t="s">
        <v>189</v>
      </c>
      <c r="D94" t="s">
        <v>217</v>
      </c>
      <c r="E94">
        <v>8330</v>
      </c>
      <c r="G94" t="s">
        <v>252</v>
      </c>
    </row>
    <row r="95" spans="1:7" x14ac:dyDescent="0.3">
      <c r="A95" t="s">
        <v>255</v>
      </c>
      <c r="B95" t="s">
        <v>148</v>
      </c>
      <c r="C95" t="s">
        <v>8</v>
      </c>
      <c r="D95" t="s">
        <v>25</v>
      </c>
      <c r="E95">
        <v>3350</v>
      </c>
      <c r="F95">
        <v>3909500000</v>
      </c>
      <c r="G95" t="s">
        <v>254</v>
      </c>
    </row>
    <row r="96" spans="1:7" x14ac:dyDescent="0.3">
      <c r="A96" t="s">
        <v>257</v>
      </c>
      <c r="B96" t="s">
        <v>256</v>
      </c>
      <c r="C96" t="s">
        <v>322</v>
      </c>
      <c r="D96" t="s">
        <v>193</v>
      </c>
      <c r="E96">
        <v>4350</v>
      </c>
      <c r="F96">
        <v>2901292000</v>
      </c>
    </row>
    <row r="97" spans="1:7" x14ac:dyDescent="0.3">
      <c r="A97" t="s">
        <v>319</v>
      </c>
      <c r="B97" t="s">
        <v>209</v>
      </c>
      <c r="C97" t="s">
        <v>322</v>
      </c>
      <c r="D97" t="s">
        <v>193</v>
      </c>
      <c r="E97">
        <v>4340</v>
      </c>
      <c r="G97" t="s">
        <v>324</v>
      </c>
    </row>
    <row r="98" spans="1:7" x14ac:dyDescent="0.3">
      <c r="A98" t="s">
        <v>325</v>
      </c>
      <c r="B98" t="s">
        <v>317</v>
      </c>
      <c r="C98" t="s">
        <v>210</v>
      </c>
      <c r="D98" t="s">
        <v>217</v>
      </c>
      <c r="E98">
        <v>2800</v>
      </c>
    </row>
    <row r="99" spans="1:7" x14ac:dyDescent="0.3">
      <c r="B99" s="3" t="s">
        <v>321</v>
      </c>
    </row>
  </sheetData>
  <phoneticPr fontId="1" type="noConversion"/>
  <pageMargins left="0.7" right="0.7" top="0.75" bottom="0.75" header="0.3" footer="0.3"/>
  <headerFooter>
    <oddFooter>&amp;L_x000D_&amp;1#&amp;"Aptos"&amp;11&amp;K000000 S-OIL: General</oddFooter>
  </headerFooter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D60A-1BAE-4F7A-A103-6798E483213F}">
  <dimension ref="A1:D58"/>
  <sheetViews>
    <sheetView workbookViewId="0">
      <selection activeCell="D28" sqref="D28"/>
    </sheetView>
  </sheetViews>
  <sheetFormatPr defaultRowHeight="16.5" x14ac:dyDescent="0.3"/>
  <cols>
    <col min="1" max="2" width="12.625" customWidth="1"/>
    <col min="3" max="3" width="15.125" bestFit="1" customWidth="1"/>
    <col min="4" max="4" width="45.5" bestFit="1" customWidth="1"/>
  </cols>
  <sheetData>
    <row r="1" spans="1:4" x14ac:dyDescent="0.3">
      <c r="A1" t="s">
        <v>1</v>
      </c>
      <c r="B1" t="s">
        <v>258</v>
      </c>
      <c r="C1" t="s">
        <v>2</v>
      </c>
      <c r="D1" t="s">
        <v>260</v>
      </c>
    </row>
    <row r="2" spans="1:4" x14ac:dyDescent="0.3">
      <c r="A2" t="str">
        <f>_xlfn.XLOOKUP(표9[[#This Row],[hsk10]],표2[hsk10],표2[material_id])</f>
        <v>M008</v>
      </c>
      <c r="B2">
        <v>2207200000</v>
      </c>
      <c r="C2" t="s">
        <v>41</v>
      </c>
      <c r="D2" t="s">
        <v>316</v>
      </c>
    </row>
    <row r="3" spans="1:4" x14ac:dyDescent="0.3">
      <c r="A3" t="str">
        <f>_xlfn.XLOOKUP(표9[[#This Row],[hsk10]],표2[hsk10],표2[material_id])</f>
        <v>M076</v>
      </c>
      <c r="B3">
        <v>2901291000</v>
      </c>
      <c r="C3" t="s">
        <v>209</v>
      </c>
      <c r="D3" t="s">
        <v>261</v>
      </c>
    </row>
    <row r="4" spans="1:4" x14ac:dyDescent="0.3">
      <c r="A4" t="str">
        <f>_xlfn.XLOOKUP(표9[[#This Row],[hsk10]],표2[hsk10],표2[material_id])</f>
        <v>M095</v>
      </c>
      <c r="B4">
        <v>2901292000</v>
      </c>
      <c r="C4" t="s">
        <v>256</v>
      </c>
      <c r="D4" t="s">
        <v>262</v>
      </c>
    </row>
    <row r="5" spans="1:4" x14ac:dyDescent="0.3">
      <c r="A5" t="str">
        <f>_xlfn.XLOOKUP(표9[[#This Row],[hsk10]],표2[hsk10],표2[material_id])</f>
        <v>M064</v>
      </c>
      <c r="B5">
        <v>2902110000</v>
      </c>
      <c r="C5" s="1" t="s">
        <v>130</v>
      </c>
      <c r="D5" t="s">
        <v>263</v>
      </c>
    </row>
    <row r="6" spans="1:4" x14ac:dyDescent="0.3">
      <c r="A6" t="str">
        <f>_xlfn.XLOOKUP(표9[[#This Row],[hsk10]],표2[hsk10],표2[material_id])</f>
        <v>M054</v>
      </c>
      <c r="B6">
        <v>2902200000</v>
      </c>
      <c r="C6" s="1" t="s">
        <v>10</v>
      </c>
      <c r="D6" t="s">
        <v>264</v>
      </c>
    </row>
    <row r="7" spans="1:4" x14ac:dyDescent="0.3">
      <c r="A7" t="str">
        <f>_xlfn.XLOOKUP(표9[[#This Row],[hsk10]],표2[hsk10],표2[material_id])</f>
        <v>M071</v>
      </c>
      <c r="B7">
        <v>2902300000</v>
      </c>
      <c r="C7" t="s">
        <v>187</v>
      </c>
      <c r="D7" t="s">
        <v>265</v>
      </c>
    </row>
    <row r="8" spans="1:4" x14ac:dyDescent="0.3">
      <c r="A8" t="str">
        <f>_xlfn.XLOOKUP(표9[[#This Row],[hsk10]],표2[hsk10],표2[material_id])</f>
        <v>M087</v>
      </c>
      <c r="B8">
        <v>2902410000</v>
      </c>
      <c r="C8" t="s">
        <v>243</v>
      </c>
      <c r="D8" t="s">
        <v>266</v>
      </c>
    </row>
    <row r="9" spans="1:4" x14ac:dyDescent="0.3">
      <c r="A9" t="str">
        <f>_xlfn.XLOOKUP(표9[[#This Row],[hsk10]],표2[hsk10],표2[material_id])</f>
        <v>M088</v>
      </c>
      <c r="B9">
        <v>2902420000</v>
      </c>
      <c r="C9" t="s">
        <v>244</v>
      </c>
      <c r="D9" t="s">
        <v>267</v>
      </c>
    </row>
    <row r="10" spans="1:4" x14ac:dyDescent="0.3">
      <c r="A10" t="str">
        <f>_xlfn.XLOOKUP(표9[[#This Row],[hsk10]],표2[hsk10],표2[material_id])</f>
        <v>M089</v>
      </c>
      <c r="B10">
        <v>2902430000</v>
      </c>
      <c r="C10" t="s">
        <v>245</v>
      </c>
      <c r="D10" t="s">
        <v>268</v>
      </c>
    </row>
    <row r="11" spans="1:4" x14ac:dyDescent="0.3">
      <c r="A11" t="str">
        <f>_xlfn.XLOOKUP(표9[[#This Row],[hsk10]],표2[hsk10],표2[material_id])</f>
        <v>M056</v>
      </c>
      <c r="B11">
        <v>2902500000</v>
      </c>
      <c r="C11" s="1" t="s">
        <v>22</v>
      </c>
      <c r="D11" t="s">
        <v>269</v>
      </c>
    </row>
    <row r="12" spans="1:4" x14ac:dyDescent="0.3">
      <c r="A12" t="str">
        <f>_xlfn.XLOOKUP(표9[[#This Row],[hsk10]],표2[hsk10],표2[material_id])</f>
        <v>M055</v>
      </c>
      <c r="B12">
        <v>2902600000</v>
      </c>
      <c r="C12" s="1" t="s">
        <v>20</v>
      </c>
      <c r="D12" t="s">
        <v>270</v>
      </c>
    </row>
    <row r="13" spans="1:4" x14ac:dyDescent="0.3">
      <c r="A13" t="str">
        <f>_xlfn.XLOOKUP(표9[[#This Row],[hsk10]],표2[hsk10],표2[material_id])</f>
        <v>M058</v>
      </c>
      <c r="B13">
        <v>2902700000</v>
      </c>
      <c r="C13" s="1" t="s">
        <v>29</v>
      </c>
      <c r="D13" t="s">
        <v>271</v>
      </c>
    </row>
    <row r="14" spans="1:4" x14ac:dyDescent="0.3">
      <c r="A14" t="str">
        <f>_xlfn.XLOOKUP(표9[[#This Row],[hsk10]],표2[hsk10],표2[material_id])</f>
        <v>M005</v>
      </c>
      <c r="B14">
        <v>2903150000</v>
      </c>
      <c r="C14" t="s">
        <v>160</v>
      </c>
      <c r="D14" t="s">
        <v>272</v>
      </c>
    </row>
    <row r="15" spans="1:4" x14ac:dyDescent="0.3">
      <c r="A15" t="str">
        <f>_xlfn.XLOOKUP(표9[[#This Row],[hsk10]],표2[hsk10],표2[material_id])</f>
        <v>M006</v>
      </c>
      <c r="B15">
        <v>2903210000</v>
      </c>
      <c r="C15" t="s">
        <v>49</v>
      </c>
      <c r="D15" t="s">
        <v>273</v>
      </c>
    </row>
    <row r="16" spans="1:4" x14ac:dyDescent="0.3">
      <c r="A16" t="str">
        <f>_xlfn.XLOOKUP(표9[[#This Row],[hsk10]],표2[hsk10],표2[material_id])</f>
        <v>M069</v>
      </c>
      <c r="B16">
        <v>2905110000</v>
      </c>
      <c r="C16" t="s">
        <v>159</v>
      </c>
      <c r="D16" t="s">
        <v>274</v>
      </c>
    </row>
    <row r="17" spans="1:4" x14ac:dyDescent="0.3">
      <c r="A17" t="str">
        <f>_xlfn.XLOOKUP(표9[[#This Row],[hsk10]],표2[hsk10],표2[material_id])</f>
        <v>M041</v>
      </c>
      <c r="B17">
        <v>2905121000</v>
      </c>
      <c r="C17" t="s">
        <v>162</v>
      </c>
      <c r="D17" t="s">
        <v>275</v>
      </c>
    </row>
    <row r="18" spans="1:4" x14ac:dyDescent="0.3">
      <c r="A18" t="str">
        <f>_xlfn.XLOOKUP(표9[[#This Row],[hsk10]],표2[hsk10],표2[material_id])</f>
        <v>M037</v>
      </c>
      <c r="B18">
        <v>2905130000</v>
      </c>
      <c r="C18" t="s">
        <v>108</v>
      </c>
      <c r="D18" t="s">
        <v>276</v>
      </c>
    </row>
    <row r="19" spans="1:4" x14ac:dyDescent="0.3">
      <c r="A19" t="str">
        <f>_xlfn.XLOOKUP(표9[[#This Row],[hsk10]],표2[hsk10],표2[material_id])</f>
        <v>M036</v>
      </c>
      <c r="B19">
        <v>2905161000</v>
      </c>
      <c r="C19" t="s">
        <v>114</v>
      </c>
      <c r="D19" t="s">
        <v>277</v>
      </c>
    </row>
    <row r="20" spans="1:4" x14ac:dyDescent="0.3">
      <c r="A20" t="str">
        <f>_xlfn.XLOOKUP(표9[[#This Row],[hsk10]],표2[hsk10],표2[material_id])</f>
        <v>M017</v>
      </c>
      <c r="B20">
        <v>2905310000</v>
      </c>
      <c r="C20" t="s">
        <v>179</v>
      </c>
      <c r="D20" t="s">
        <v>278</v>
      </c>
    </row>
    <row r="21" spans="1:4" x14ac:dyDescent="0.3">
      <c r="A21" t="str">
        <f>_xlfn.XLOOKUP(표9[[#This Row],[hsk10]],표2[hsk10],표2[material_id])</f>
        <v>M027</v>
      </c>
      <c r="B21">
        <v>2905320000</v>
      </c>
      <c r="C21" t="s">
        <v>144</v>
      </c>
      <c r="D21" t="s">
        <v>279</v>
      </c>
    </row>
    <row r="22" spans="1:4" x14ac:dyDescent="0.3">
      <c r="A22" t="str">
        <f>_xlfn.XLOOKUP(표9[[#This Row],[hsk10]],표2[hsk10],표2[material_id])</f>
        <v>M059</v>
      </c>
      <c r="B22">
        <v>2907111000</v>
      </c>
      <c r="C22" s="1" t="s">
        <v>101</v>
      </c>
      <c r="D22" t="s">
        <v>280</v>
      </c>
    </row>
    <row r="23" spans="1:4" x14ac:dyDescent="0.3">
      <c r="A23" t="str">
        <f>_xlfn.XLOOKUP(표9[[#This Row],[hsk10]],표2[hsk10],표2[material_id])</f>
        <v>M061</v>
      </c>
      <c r="B23">
        <v>2907231000</v>
      </c>
      <c r="C23" s="1" t="s">
        <v>168</v>
      </c>
      <c r="D23" t="s">
        <v>281</v>
      </c>
    </row>
    <row r="24" spans="1:4" x14ac:dyDescent="0.3">
      <c r="A24" t="str">
        <f>_xlfn.XLOOKUP(표9[[#This Row],[hsk10]],표2[hsk10],표2[material_id])</f>
        <v>M049</v>
      </c>
      <c r="B24">
        <v>2909192000</v>
      </c>
      <c r="C24" s="1" t="s">
        <v>122</v>
      </c>
      <c r="D24" t="s">
        <v>282</v>
      </c>
    </row>
    <row r="25" spans="1:4" x14ac:dyDescent="0.3">
      <c r="A25" t="str">
        <f>_xlfn.XLOOKUP(표9[[#This Row],[hsk10]],표2[hsk10],표2[material_id])</f>
        <v>M012</v>
      </c>
      <c r="B25">
        <v>2910100000</v>
      </c>
      <c r="C25" t="s">
        <v>171</v>
      </c>
      <c r="D25" t="s">
        <v>283</v>
      </c>
    </row>
    <row r="26" spans="1:4" x14ac:dyDescent="0.3">
      <c r="A26" t="str">
        <f>_xlfn.XLOOKUP(표9[[#This Row],[hsk10]],표2[hsk10],표2[material_id])</f>
        <v>M026</v>
      </c>
      <c r="B26">
        <v>2910200000</v>
      </c>
      <c r="C26" t="s">
        <v>146</v>
      </c>
      <c r="D26" t="s">
        <v>284</v>
      </c>
    </row>
    <row r="27" spans="1:4" x14ac:dyDescent="0.3">
      <c r="A27" t="str">
        <f>_xlfn.XLOOKUP(표9[[#This Row],[hsk10]],표2[hsk10],표2[material_id])</f>
        <v>M080</v>
      </c>
      <c r="B27">
        <v>2912110000</v>
      </c>
      <c r="C27" t="s">
        <v>221</v>
      </c>
      <c r="D27" t="s">
        <v>285</v>
      </c>
    </row>
    <row r="28" spans="1:4" x14ac:dyDescent="0.3">
      <c r="A28" t="str">
        <f>_xlfn.XLOOKUP(표9[[#This Row],[hsk10]],표2[hsk10],표2[material_id])</f>
        <v>M018</v>
      </c>
      <c r="B28">
        <v>2912120000</v>
      </c>
      <c r="C28" t="s">
        <v>39</v>
      </c>
      <c r="D28" t="s">
        <v>286</v>
      </c>
    </row>
    <row r="29" spans="1:4" x14ac:dyDescent="0.3">
      <c r="A29" t="str">
        <f>_xlfn.XLOOKUP(표9[[#This Row],[hsk10]],표2[hsk10],표2[material_id])</f>
        <v>M035</v>
      </c>
      <c r="B29">
        <v>2912193000</v>
      </c>
      <c r="C29" t="s">
        <v>107</v>
      </c>
      <c r="D29" t="s">
        <v>287</v>
      </c>
    </row>
    <row r="30" spans="1:4" x14ac:dyDescent="0.3">
      <c r="A30" t="str">
        <f>_xlfn.XLOOKUP(표9[[#This Row],[hsk10]],표2[hsk10],표2[material_id])</f>
        <v>M060</v>
      </c>
      <c r="B30">
        <v>2914110000</v>
      </c>
      <c r="C30" s="1" t="s">
        <v>102</v>
      </c>
      <c r="D30" t="s">
        <v>288</v>
      </c>
    </row>
    <row r="31" spans="1:4" x14ac:dyDescent="0.3">
      <c r="A31" t="str">
        <f>_xlfn.XLOOKUP(표9[[#This Row],[hsk10]],표2[hsk10],표2[material_id])</f>
        <v>M067</v>
      </c>
      <c r="B31">
        <v>2914221000</v>
      </c>
      <c r="C31" s="1" t="s">
        <v>152</v>
      </c>
      <c r="D31" t="s">
        <v>289</v>
      </c>
    </row>
    <row r="32" spans="1:4" x14ac:dyDescent="0.3">
      <c r="A32" t="str">
        <f>_xlfn.XLOOKUP(표9[[#This Row],[hsk10]],표2[hsk10],표2[material_id])</f>
        <v>M070</v>
      </c>
      <c r="B32">
        <v>2915210000</v>
      </c>
      <c r="C32" t="s">
        <v>163</v>
      </c>
      <c r="D32" t="s">
        <v>290</v>
      </c>
    </row>
    <row r="33" spans="1:4" x14ac:dyDescent="0.3">
      <c r="A33" t="str">
        <f>_xlfn.XLOOKUP(표9[[#This Row],[hsk10]],표2[hsk10],표2[material_id])</f>
        <v>M010</v>
      </c>
      <c r="B33">
        <v>2915310000</v>
      </c>
      <c r="C33" t="s">
        <v>37</v>
      </c>
    </row>
    <row r="34" spans="1:4" x14ac:dyDescent="0.3">
      <c r="A34" t="str">
        <f>_xlfn.XLOOKUP(표9[[#This Row],[hsk10]],표2[hsk10],표2[material_id])</f>
        <v>M019</v>
      </c>
      <c r="B34">
        <v>2915320000</v>
      </c>
      <c r="C34" t="s">
        <v>50</v>
      </c>
      <c r="D34" t="s">
        <v>291</v>
      </c>
    </row>
    <row r="35" spans="1:4" x14ac:dyDescent="0.3">
      <c r="A35" t="str">
        <f>_xlfn.XLOOKUP(표9[[#This Row],[hsk10]],표2[hsk10],표2[material_id])</f>
        <v>M031</v>
      </c>
      <c r="B35">
        <v>2916111000</v>
      </c>
      <c r="C35" t="s">
        <v>103</v>
      </c>
      <c r="D35" t="s">
        <v>292</v>
      </c>
    </row>
    <row r="36" spans="1:4" x14ac:dyDescent="0.3">
      <c r="A36" t="str">
        <f>_xlfn.XLOOKUP(표9[[#This Row],[hsk10]],표2[hsk10],표2[material_id])</f>
        <v>M011</v>
      </c>
      <c r="B36">
        <v>2916121000</v>
      </c>
      <c r="C36" t="s">
        <v>38</v>
      </c>
      <c r="D36" t="s">
        <v>293</v>
      </c>
    </row>
    <row r="37" spans="1:4" x14ac:dyDescent="0.3">
      <c r="A37" t="str">
        <f>_xlfn.XLOOKUP(표9[[#This Row],[hsk10]],표2[hsk10],표2[material_id])</f>
        <v>M078</v>
      </c>
      <c r="B37">
        <v>2916141000</v>
      </c>
      <c r="C37" t="s">
        <v>215</v>
      </c>
      <c r="D37" t="s">
        <v>294</v>
      </c>
    </row>
    <row r="38" spans="1:4" x14ac:dyDescent="0.3">
      <c r="A38" t="str">
        <f>_xlfn.XLOOKUP(표9[[#This Row],[hsk10]],표2[hsk10],표2[material_id])</f>
        <v>M068</v>
      </c>
      <c r="B38">
        <v>2917140000</v>
      </c>
      <c r="C38" t="s">
        <v>158</v>
      </c>
      <c r="D38" t="s">
        <v>295</v>
      </c>
    </row>
    <row r="39" spans="1:4" x14ac:dyDescent="0.3">
      <c r="A39" t="str">
        <f>_xlfn.XLOOKUP(표9[[#This Row],[hsk10]],표2[hsk10],표2[material_id])</f>
        <v>M073</v>
      </c>
      <c r="B39">
        <v>2917350000</v>
      </c>
      <c r="C39" t="s">
        <v>191</v>
      </c>
      <c r="D39" t="s">
        <v>296</v>
      </c>
    </row>
    <row r="40" spans="1:4" x14ac:dyDescent="0.3">
      <c r="A40" t="str">
        <f>_xlfn.XLOOKUP(표9[[#This Row],[hsk10]],표2[hsk10],표2[material_id])</f>
        <v>M091</v>
      </c>
      <c r="B40">
        <v>2917361000</v>
      </c>
      <c r="C40" t="s">
        <v>196</v>
      </c>
      <c r="D40" t="s">
        <v>297</v>
      </c>
    </row>
    <row r="41" spans="1:4" x14ac:dyDescent="0.3">
      <c r="A41" t="str">
        <f>_xlfn.XLOOKUP(표9[[#This Row],[hsk10]],표2[hsk10],표2[material_id])</f>
        <v>M092</v>
      </c>
      <c r="B41">
        <v>2917370000</v>
      </c>
      <c r="C41" t="s">
        <v>197</v>
      </c>
      <c r="D41" t="s">
        <v>298</v>
      </c>
    </row>
    <row r="42" spans="1:4" x14ac:dyDescent="0.3">
      <c r="A42" t="str">
        <f>_xlfn.XLOOKUP(표9[[#This Row],[hsk10]],표2[hsk10],표2[material_id])</f>
        <v>M065</v>
      </c>
      <c r="B42">
        <v>2921411000</v>
      </c>
      <c r="C42" s="1" t="s">
        <v>129</v>
      </c>
      <c r="D42" t="s">
        <v>299</v>
      </c>
    </row>
    <row r="43" spans="1:4" x14ac:dyDescent="0.3">
      <c r="A43" t="str">
        <f>_xlfn.XLOOKUP(표9[[#This Row],[hsk10]],표2[hsk10],표2[material_id])</f>
        <v>M014</v>
      </c>
      <c r="B43">
        <v>2922111000</v>
      </c>
      <c r="C43" t="s">
        <v>46</v>
      </c>
      <c r="D43" t="s">
        <v>300</v>
      </c>
    </row>
    <row r="44" spans="1:4" x14ac:dyDescent="0.3">
      <c r="A44" t="str">
        <f>_xlfn.XLOOKUP(표9[[#This Row],[hsk10]],표2[hsk10],표2[material_id])</f>
        <v>M015</v>
      </c>
      <c r="B44">
        <v>2922121000</v>
      </c>
      <c r="C44" t="s">
        <v>47</v>
      </c>
      <c r="D44" t="s">
        <v>301</v>
      </c>
    </row>
    <row r="45" spans="1:4" x14ac:dyDescent="0.3">
      <c r="A45" t="str">
        <f>_xlfn.XLOOKUP(표9[[#This Row],[hsk10]],표2[hsk10],표2[material_id])</f>
        <v>M016</v>
      </c>
      <c r="B45">
        <v>2922150000</v>
      </c>
      <c r="C45" t="s">
        <v>48</v>
      </c>
      <c r="D45" t="s">
        <v>302</v>
      </c>
    </row>
    <row r="46" spans="1:4" x14ac:dyDescent="0.3">
      <c r="A46" t="str">
        <f>_xlfn.XLOOKUP(표9[[#This Row],[hsk10]],표2[hsk10],표2[material_id])</f>
        <v>M021</v>
      </c>
      <c r="B46">
        <v>2926100000</v>
      </c>
      <c r="C46" t="s">
        <v>161</v>
      </c>
      <c r="D46" t="s">
        <v>303</v>
      </c>
    </row>
    <row r="47" spans="1:4" x14ac:dyDescent="0.3">
      <c r="A47" t="str">
        <f>_xlfn.XLOOKUP(표9[[#This Row],[hsk10]],표2[hsk10],표2[material_id])</f>
        <v>M086</v>
      </c>
      <c r="B47">
        <v>2929101000</v>
      </c>
      <c r="C47" t="s">
        <v>237</v>
      </c>
      <c r="D47" t="s">
        <v>304</v>
      </c>
    </row>
    <row r="48" spans="1:4" x14ac:dyDescent="0.3">
      <c r="A48" t="str">
        <f>_xlfn.XLOOKUP(표9[[#This Row],[hsk10]],표2[hsk10],표2[material_id])</f>
        <v>M085</v>
      </c>
      <c r="B48">
        <v>2929102000</v>
      </c>
      <c r="C48" t="s">
        <v>236</v>
      </c>
      <c r="D48" t="s">
        <v>305</v>
      </c>
    </row>
    <row r="49" spans="1:4" x14ac:dyDescent="0.3">
      <c r="A49" t="str">
        <f>_xlfn.XLOOKUP(표9[[#This Row],[hsk10]],표2[hsk10],표2[material_id])</f>
        <v>M074</v>
      </c>
      <c r="B49">
        <v>2933710000</v>
      </c>
      <c r="C49" t="s">
        <v>204</v>
      </c>
      <c r="D49" t="s">
        <v>306</v>
      </c>
    </row>
    <row r="50" spans="1:4" x14ac:dyDescent="0.3">
      <c r="A50" t="str">
        <f>_xlfn.XLOOKUP(표9[[#This Row],[hsk10]],표2[hsk10],표2[material_id])</f>
        <v>M004</v>
      </c>
      <c r="B50">
        <v>3901101000</v>
      </c>
      <c r="C50" t="s">
        <v>33</v>
      </c>
      <c r="D50" t="s">
        <v>307</v>
      </c>
    </row>
    <row r="51" spans="1:4" x14ac:dyDescent="0.3">
      <c r="A51" t="str">
        <f>_xlfn.XLOOKUP(표9[[#This Row],[hsk10]],표2[hsk10],표2[material_id])</f>
        <v>M025</v>
      </c>
      <c r="B51">
        <v>3902100000</v>
      </c>
      <c r="C51" t="s">
        <v>147</v>
      </c>
      <c r="D51" t="s">
        <v>308</v>
      </c>
    </row>
    <row r="52" spans="1:4" x14ac:dyDescent="0.3">
      <c r="A52" t="str">
        <f>_xlfn.XLOOKUP(표9[[#This Row],[hsk10]],표2[hsk10],표2[material_id])</f>
        <v>M047</v>
      </c>
      <c r="B52">
        <v>3902200000</v>
      </c>
      <c r="C52" s="1" t="s">
        <v>121</v>
      </c>
      <c r="D52" t="s">
        <v>309</v>
      </c>
    </row>
    <row r="53" spans="1:4" x14ac:dyDescent="0.3">
      <c r="A53" t="str">
        <f>_xlfn.XLOOKUP(표9[[#This Row],[hsk10]],표2[hsk10],표2[material_id])</f>
        <v>M023</v>
      </c>
      <c r="B53">
        <v>3903200000</v>
      </c>
      <c r="C53" t="s">
        <v>112</v>
      </c>
      <c r="D53" t="s">
        <v>310</v>
      </c>
    </row>
    <row r="54" spans="1:4" x14ac:dyDescent="0.3">
      <c r="A54" t="str">
        <f>_xlfn.XLOOKUP(표9[[#This Row],[hsk10]],표2[hsk10],표2[material_id])</f>
        <v>M022</v>
      </c>
      <c r="B54">
        <v>3903300000</v>
      </c>
      <c r="C54" t="s">
        <v>111</v>
      </c>
      <c r="D54" t="s">
        <v>311</v>
      </c>
    </row>
    <row r="55" spans="1:4" x14ac:dyDescent="0.3">
      <c r="A55" t="str">
        <f>_xlfn.XLOOKUP(표9[[#This Row],[hsk10]],표2[hsk10],표2[material_id])</f>
        <v>M045</v>
      </c>
      <c r="B55">
        <v>3903901000</v>
      </c>
      <c r="C55" s="1" t="s">
        <v>119</v>
      </c>
      <c r="D55" t="s">
        <v>312</v>
      </c>
    </row>
    <row r="56" spans="1:4" x14ac:dyDescent="0.3">
      <c r="A56" t="str">
        <f>_xlfn.XLOOKUP(표9[[#This Row],[hsk10]],표2[hsk10],표2[material_id])</f>
        <v>M079</v>
      </c>
      <c r="B56">
        <v>3906100000</v>
      </c>
      <c r="C56" t="s">
        <v>216</v>
      </c>
      <c r="D56" t="s">
        <v>313</v>
      </c>
    </row>
    <row r="57" spans="1:4" x14ac:dyDescent="0.3">
      <c r="A57" t="str">
        <f>_xlfn.XLOOKUP(표9[[#This Row],[hsk10]],표2[hsk10],표2[material_id])</f>
        <v>M062</v>
      </c>
      <c r="B57">
        <v>3907400000</v>
      </c>
      <c r="C57" s="1" t="s">
        <v>169</v>
      </c>
      <c r="D57" t="s">
        <v>314</v>
      </c>
    </row>
    <row r="58" spans="1:4" x14ac:dyDescent="0.3">
      <c r="A58" t="str">
        <f>_xlfn.XLOOKUP(표9[[#This Row],[hsk10]],표2[hsk10],표2[material_id])</f>
        <v>M030</v>
      </c>
      <c r="B58">
        <v>3909500000</v>
      </c>
      <c r="C58" t="s">
        <v>148</v>
      </c>
      <c r="D58" t="s">
        <v>315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C9F0-10F1-4A9A-80FE-7877B84355B5}">
  <dimension ref="A1:G560"/>
  <sheetViews>
    <sheetView tabSelected="1" topLeftCell="A49" workbookViewId="0">
      <selection activeCell="G106" sqref="G106"/>
    </sheetView>
  </sheetViews>
  <sheetFormatPr defaultRowHeight="16.5" x14ac:dyDescent="0.3"/>
  <cols>
    <col min="1" max="1" width="9.5" bestFit="1" customWidth="1"/>
    <col min="2" max="2" width="11.625" bestFit="1" customWidth="1"/>
    <col min="3" max="3" width="60.875" bestFit="1" customWidth="1"/>
    <col min="4" max="5" width="11.75" bestFit="1" customWidth="1"/>
    <col min="6" max="6" width="12.25" bestFit="1" customWidth="1"/>
    <col min="7" max="7" width="18.875" bestFit="1" customWidth="1"/>
  </cols>
  <sheetData>
    <row r="1" spans="1:7" x14ac:dyDescent="0.3">
      <c r="A1" s="4" t="s">
        <v>326</v>
      </c>
      <c r="B1" s="4" t="s">
        <v>258</v>
      </c>
      <c r="C1" s="5" t="s">
        <v>260</v>
      </c>
      <c r="D1" s="5" t="s">
        <v>327</v>
      </c>
      <c r="E1" s="5" t="s">
        <v>328</v>
      </c>
      <c r="F1" s="5" t="s">
        <v>329</v>
      </c>
      <c r="G1" s="5" t="s">
        <v>330</v>
      </c>
    </row>
    <row r="2" spans="1:7" x14ac:dyDescent="0.3">
      <c r="A2" s="6">
        <v>2016</v>
      </c>
      <c r="B2" s="6">
        <v>2207200000</v>
      </c>
      <c r="C2" s="6" t="s">
        <v>331</v>
      </c>
      <c r="D2" s="6">
        <v>460.6</v>
      </c>
      <c r="E2" s="7">
        <v>117823.8</v>
      </c>
      <c r="F2" s="8">
        <f>E2-D2</f>
        <v>117363.2</v>
      </c>
      <c r="G2" t="str">
        <f>IF(표1[[#This Row],[diff]]&gt;0,"import","export")</f>
        <v>import</v>
      </c>
    </row>
    <row r="3" spans="1:7" x14ac:dyDescent="0.3">
      <c r="A3" s="6">
        <v>2016</v>
      </c>
      <c r="B3" s="6">
        <v>2901291000</v>
      </c>
      <c r="C3" s="6" t="s">
        <v>261</v>
      </c>
      <c r="D3" s="6">
        <v>54.8</v>
      </c>
      <c r="E3" s="7">
        <v>22121.599999999999</v>
      </c>
      <c r="F3" s="8">
        <f t="shared" ref="F3:F66" si="0">E3-D3</f>
        <v>22066.799999999999</v>
      </c>
      <c r="G3" t="str">
        <f>IF(표1[[#This Row],[diff]]&gt;0,"import","export")</f>
        <v>import</v>
      </c>
    </row>
    <row r="4" spans="1:7" x14ac:dyDescent="0.3">
      <c r="A4" s="6">
        <v>2016</v>
      </c>
      <c r="B4" s="6">
        <v>2901292000</v>
      </c>
      <c r="C4" s="6" t="s">
        <v>262</v>
      </c>
      <c r="D4" s="6">
        <v>0</v>
      </c>
      <c r="E4" s="7">
        <v>59681.599999999999</v>
      </c>
      <c r="F4" s="8">
        <f t="shared" si="0"/>
        <v>59681.599999999999</v>
      </c>
      <c r="G4" t="str">
        <f>IF(표1[[#This Row],[diff]]&gt;0,"import","export")</f>
        <v>import</v>
      </c>
    </row>
    <row r="5" spans="1:7" x14ac:dyDescent="0.3">
      <c r="A5" s="6">
        <v>2016</v>
      </c>
      <c r="B5" s="6">
        <v>2902110000</v>
      </c>
      <c r="C5" s="6" t="s">
        <v>263</v>
      </c>
      <c r="D5" s="7">
        <v>5573.2</v>
      </c>
      <c r="E5" s="7">
        <v>23710.1</v>
      </c>
      <c r="F5" s="8">
        <f t="shared" si="0"/>
        <v>18136.899999999998</v>
      </c>
      <c r="G5" t="str">
        <f>IF(표1[[#This Row],[diff]]&gt;0,"import","export")</f>
        <v>import</v>
      </c>
    </row>
    <row r="6" spans="1:7" x14ac:dyDescent="0.3">
      <c r="A6" s="6">
        <v>2016</v>
      </c>
      <c r="B6" s="6">
        <v>2902200000</v>
      </c>
      <c r="C6" s="6" t="s">
        <v>264</v>
      </c>
      <c r="D6" s="7">
        <v>2044769.7</v>
      </c>
      <c r="E6" s="7">
        <v>31277.7</v>
      </c>
      <c r="F6" s="8">
        <f t="shared" si="0"/>
        <v>-2013492</v>
      </c>
      <c r="G6" t="str">
        <f>IF(표1[[#This Row],[diff]]&gt;0,"import","export")</f>
        <v>export</v>
      </c>
    </row>
    <row r="7" spans="1:7" x14ac:dyDescent="0.3">
      <c r="A7" s="6">
        <v>2016</v>
      </c>
      <c r="B7" s="6">
        <v>2902300000</v>
      </c>
      <c r="C7" s="6" t="s">
        <v>265</v>
      </c>
      <c r="D7" s="7">
        <v>532577.5</v>
      </c>
      <c r="E7" s="7">
        <v>525757.30000000005</v>
      </c>
      <c r="F7" s="8">
        <f t="shared" si="0"/>
        <v>-6820.1999999999534</v>
      </c>
      <c r="G7" t="str">
        <f>IF(표1[[#This Row],[diff]]&gt;0,"import","export")</f>
        <v>export</v>
      </c>
    </row>
    <row r="8" spans="1:7" x14ac:dyDescent="0.3">
      <c r="A8" s="6">
        <v>2016</v>
      </c>
      <c r="B8" s="6">
        <v>2902410000</v>
      </c>
      <c r="C8" s="6" t="s">
        <v>266</v>
      </c>
      <c r="D8" s="7">
        <v>6682.6</v>
      </c>
      <c r="E8" s="7">
        <v>52699.7</v>
      </c>
      <c r="F8" s="8">
        <f t="shared" si="0"/>
        <v>46017.1</v>
      </c>
      <c r="G8" t="str">
        <f>IF(표1[[#This Row],[diff]]&gt;0,"import","export")</f>
        <v>import</v>
      </c>
    </row>
    <row r="9" spans="1:7" x14ac:dyDescent="0.3">
      <c r="A9" s="6">
        <v>2016</v>
      </c>
      <c r="B9" s="6">
        <v>2902420000</v>
      </c>
      <c r="C9" s="6" t="s">
        <v>267</v>
      </c>
      <c r="D9" s="6">
        <v>0</v>
      </c>
      <c r="E9" s="7">
        <v>47128.7</v>
      </c>
      <c r="F9" s="8">
        <f t="shared" si="0"/>
        <v>47128.7</v>
      </c>
      <c r="G9" t="str">
        <f>IF(표1[[#This Row],[diff]]&gt;0,"import","export")</f>
        <v>import</v>
      </c>
    </row>
    <row r="10" spans="1:7" x14ac:dyDescent="0.3">
      <c r="A10" s="6">
        <v>2016</v>
      </c>
      <c r="B10" s="6">
        <v>2902430000</v>
      </c>
      <c r="C10" s="6" t="s">
        <v>268</v>
      </c>
      <c r="D10" s="7">
        <v>6434612.2000000002</v>
      </c>
      <c r="E10" s="7">
        <v>43589.7</v>
      </c>
      <c r="F10" s="8">
        <f t="shared" si="0"/>
        <v>-6391022.5</v>
      </c>
      <c r="G10" t="str">
        <f>IF(표1[[#This Row],[diff]]&gt;0,"import","export")</f>
        <v>export</v>
      </c>
    </row>
    <row r="11" spans="1:7" x14ac:dyDescent="0.3">
      <c r="A11" s="6">
        <v>2016</v>
      </c>
      <c r="B11" s="6">
        <v>2902500000</v>
      </c>
      <c r="C11" s="6" t="s">
        <v>269</v>
      </c>
      <c r="D11" s="7">
        <v>1292329.5</v>
      </c>
      <c r="E11" s="7">
        <v>806172.5</v>
      </c>
      <c r="F11" s="8">
        <f t="shared" si="0"/>
        <v>-486157</v>
      </c>
      <c r="G11" t="str">
        <f>IF(표1[[#This Row],[diff]]&gt;0,"import","export")</f>
        <v>export</v>
      </c>
    </row>
    <row r="12" spans="1:7" x14ac:dyDescent="0.3">
      <c r="A12" s="6">
        <v>2016</v>
      </c>
      <c r="B12" s="6">
        <v>2902600000</v>
      </c>
      <c r="C12" s="6" t="s">
        <v>270</v>
      </c>
      <c r="D12" s="6">
        <v>17.899999999999999</v>
      </c>
      <c r="E12" s="6">
        <v>1.3</v>
      </c>
      <c r="F12" s="8">
        <f t="shared" si="0"/>
        <v>-16.599999999999998</v>
      </c>
      <c r="G12" t="str">
        <f>IF(표1[[#This Row],[diff]]&gt;0,"import","export")</f>
        <v>export</v>
      </c>
    </row>
    <row r="13" spans="1:7" x14ac:dyDescent="0.3">
      <c r="A13" s="6">
        <v>2016</v>
      </c>
      <c r="B13" s="6">
        <v>2902700000</v>
      </c>
      <c r="C13" s="6" t="s">
        <v>271</v>
      </c>
      <c r="D13" s="6">
        <v>959.1</v>
      </c>
      <c r="E13" s="7">
        <v>34733.5</v>
      </c>
      <c r="F13" s="8">
        <f t="shared" si="0"/>
        <v>33774.400000000001</v>
      </c>
      <c r="G13" t="str">
        <f>IF(표1[[#This Row],[diff]]&gt;0,"import","export")</f>
        <v>import</v>
      </c>
    </row>
    <row r="14" spans="1:7" x14ac:dyDescent="0.3">
      <c r="A14" s="6">
        <v>2016</v>
      </c>
      <c r="B14" s="6">
        <v>2903150000</v>
      </c>
      <c r="C14" s="6" t="s">
        <v>272</v>
      </c>
      <c r="D14" s="7">
        <v>199221.2</v>
      </c>
      <c r="E14" s="7">
        <v>200366.4</v>
      </c>
      <c r="F14" s="8">
        <f t="shared" si="0"/>
        <v>1145.1999999999825</v>
      </c>
      <c r="G14" t="str">
        <f>IF(표1[[#This Row],[diff]]&gt;0,"import","export")</f>
        <v>import</v>
      </c>
    </row>
    <row r="15" spans="1:7" x14ac:dyDescent="0.3">
      <c r="A15" s="6">
        <v>2016</v>
      </c>
      <c r="B15" s="6">
        <v>2903210000</v>
      </c>
      <c r="C15" s="6" t="s">
        <v>273</v>
      </c>
      <c r="D15" s="7">
        <v>113073.2</v>
      </c>
      <c r="E15" s="7">
        <v>17255.3</v>
      </c>
      <c r="F15" s="8">
        <f t="shared" si="0"/>
        <v>-95817.9</v>
      </c>
      <c r="G15" t="str">
        <f>IF(표1[[#This Row],[diff]]&gt;0,"import","export")</f>
        <v>export</v>
      </c>
    </row>
    <row r="16" spans="1:7" x14ac:dyDescent="0.3">
      <c r="A16" s="6">
        <v>2016</v>
      </c>
      <c r="B16" s="6">
        <v>2905110000</v>
      </c>
      <c r="C16" s="6" t="s">
        <v>274</v>
      </c>
      <c r="D16" s="7">
        <v>3613.6</v>
      </c>
      <c r="E16" s="7">
        <v>1570487.8</v>
      </c>
      <c r="F16" s="8">
        <f t="shared" si="0"/>
        <v>1566874.2</v>
      </c>
      <c r="G16" t="str">
        <f>IF(표1[[#This Row],[diff]]&gt;0,"import","export")</f>
        <v>import</v>
      </c>
    </row>
    <row r="17" spans="1:7" x14ac:dyDescent="0.3">
      <c r="A17" s="6">
        <v>2016</v>
      </c>
      <c r="B17" s="6">
        <v>2905121000</v>
      </c>
      <c r="C17" s="6" t="s">
        <v>275</v>
      </c>
      <c r="D17" s="6">
        <v>14.4</v>
      </c>
      <c r="E17" s="6">
        <v>943.3</v>
      </c>
      <c r="F17" s="8">
        <f t="shared" si="0"/>
        <v>928.9</v>
      </c>
      <c r="G17" t="str">
        <f>IF(표1[[#This Row],[diff]]&gt;0,"import","export")</f>
        <v>import</v>
      </c>
    </row>
    <row r="18" spans="1:7" x14ac:dyDescent="0.3">
      <c r="A18" s="6">
        <v>2016</v>
      </c>
      <c r="B18" s="6">
        <v>2905130000</v>
      </c>
      <c r="C18" s="6" t="s">
        <v>276</v>
      </c>
      <c r="D18" s="6">
        <v>92.4</v>
      </c>
      <c r="E18" s="7">
        <v>88056.3</v>
      </c>
      <c r="F18" s="8">
        <f t="shared" si="0"/>
        <v>87963.900000000009</v>
      </c>
      <c r="G18" t="str">
        <f>IF(표1[[#This Row],[diff]]&gt;0,"import","export")</f>
        <v>import</v>
      </c>
    </row>
    <row r="19" spans="1:7" x14ac:dyDescent="0.3">
      <c r="A19" s="6">
        <v>2016</v>
      </c>
      <c r="B19" s="6">
        <v>2905161000</v>
      </c>
      <c r="C19" s="6" t="s">
        <v>277</v>
      </c>
      <c r="D19" s="7">
        <v>104309.3</v>
      </c>
      <c r="E19" s="7">
        <v>156351.29999999999</v>
      </c>
      <c r="F19" s="8">
        <f t="shared" si="0"/>
        <v>52041.999999999985</v>
      </c>
      <c r="G19" t="str">
        <f>IF(표1[[#This Row],[diff]]&gt;0,"import","export")</f>
        <v>import</v>
      </c>
    </row>
    <row r="20" spans="1:7" x14ac:dyDescent="0.3">
      <c r="A20" s="6">
        <v>2016</v>
      </c>
      <c r="B20" s="6">
        <v>2905310000</v>
      </c>
      <c r="C20" s="6" t="s">
        <v>278</v>
      </c>
      <c r="D20" s="7">
        <v>480809.5</v>
      </c>
      <c r="E20" s="7">
        <v>276238.90000000002</v>
      </c>
      <c r="F20" s="8">
        <f t="shared" si="0"/>
        <v>-204570.59999999998</v>
      </c>
      <c r="G20" t="str">
        <f>IF(표1[[#This Row],[diff]]&gt;0,"import","export")</f>
        <v>export</v>
      </c>
    </row>
    <row r="21" spans="1:7" x14ac:dyDescent="0.3">
      <c r="A21" s="6">
        <v>2016</v>
      </c>
      <c r="B21" s="6">
        <v>2905320000</v>
      </c>
      <c r="C21" s="6" t="s">
        <v>279</v>
      </c>
      <c r="D21" s="7">
        <v>60753.4</v>
      </c>
      <c r="E21" s="7">
        <v>15186.7</v>
      </c>
      <c r="F21" s="8">
        <f t="shared" si="0"/>
        <v>-45566.7</v>
      </c>
      <c r="G21" t="str">
        <f>IF(표1[[#This Row],[diff]]&gt;0,"import","export")</f>
        <v>export</v>
      </c>
    </row>
    <row r="22" spans="1:7" x14ac:dyDescent="0.3">
      <c r="A22" s="6">
        <v>2016</v>
      </c>
      <c r="B22" s="6">
        <v>2907111000</v>
      </c>
      <c r="C22" s="6" t="s">
        <v>280</v>
      </c>
      <c r="D22" s="7">
        <v>259002.1</v>
      </c>
      <c r="E22" s="7">
        <v>29002.5</v>
      </c>
      <c r="F22" s="8">
        <f t="shared" si="0"/>
        <v>-229999.6</v>
      </c>
      <c r="G22" t="str">
        <f>IF(표1[[#This Row],[diff]]&gt;0,"import","export")</f>
        <v>export</v>
      </c>
    </row>
    <row r="23" spans="1:7" x14ac:dyDescent="0.3">
      <c r="A23" s="6">
        <v>2016</v>
      </c>
      <c r="B23" s="6">
        <v>2907231000</v>
      </c>
      <c r="C23" s="6" t="s">
        <v>281</v>
      </c>
      <c r="D23" s="7">
        <v>271911.3</v>
      </c>
      <c r="E23" s="7">
        <v>107260.1</v>
      </c>
      <c r="F23" s="8">
        <f t="shared" si="0"/>
        <v>-164651.19999999998</v>
      </c>
      <c r="G23" t="str">
        <f>IF(표1[[#This Row],[diff]]&gt;0,"import","export")</f>
        <v>export</v>
      </c>
    </row>
    <row r="24" spans="1:7" x14ac:dyDescent="0.3">
      <c r="A24" s="6">
        <v>2016</v>
      </c>
      <c r="B24" s="6">
        <v>2909192000</v>
      </c>
      <c r="C24" s="6" t="s">
        <v>282</v>
      </c>
      <c r="D24" s="7">
        <v>3660.3</v>
      </c>
      <c r="E24" s="7">
        <v>162085.1</v>
      </c>
      <c r="F24" s="8">
        <f t="shared" si="0"/>
        <v>158424.80000000002</v>
      </c>
      <c r="G24" t="str">
        <f>IF(표1[[#This Row],[diff]]&gt;0,"import","export")</f>
        <v>import</v>
      </c>
    </row>
    <row r="25" spans="1:7" x14ac:dyDescent="0.3">
      <c r="A25" s="6">
        <v>2016</v>
      </c>
      <c r="B25" s="6">
        <v>2910100000</v>
      </c>
      <c r="C25" s="6" t="s">
        <v>283</v>
      </c>
      <c r="D25" s="6">
        <v>117.8</v>
      </c>
      <c r="E25" s="6">
        <v>55.8</v>
      </c>
      <c r="F25" s="8">
        <f t="shared" si="0"/>
        <v>-62</v>
      </c>
      <c r="G25" t="str">
        <f>IF(표1[[#This Row],[diff]]&gt;0,"import","export")</f>
        <v>export</v>
      </c>
    </row>
    <row r="26" spans="1:7" x14ac:dyDescent="0.3">
      <c r="A26" s="6">
        <v>2016</v>
      </c>
      <c r="B26" s="6">
        <v>2910200000</v>
      </c>
      <c r="C26" s="6" t="s">
        <v>284</v>
      </c>
      <c r="D26" s="7">
        <v>4972.7</v>
      </c>
      <c r="E26" s="7">
        <v>134626.29999999999</v>
      </c>
      <c r="F26" s="8">
        <f t="shared" si="0"/>
        <v>129653.59999999999</v>
      </c>
      <c r="G26" t="str">
        <f>IF(표1[[#This Row],[diff]]&gt;0,"import","export")</f>
        <v>import</v>
      </c>
    </row>
    <row r="27" spans="1:7" x14ac:dyDescent="0.3">
      <c r="A27" s="6">
        <v>2016</v>
      </c>
      <c r="B27" s="6">
        <v>2912110000</v>
      </c>
      <c r="C27" s="6" t="s">
        <v>285</v>
      </c>
      <c r="D27" s="6">
        <v>172.4</v>
      </c>
      <c r="E27" s="6">
        <v>11.2</v>
      </c>
      <c r="F27" s="8">
        <f t="shared" si="0"/>
        <v>-161.20000000000002</v>
      </c>
      <c r="G27" t="str">
        <f>IF(표1[[#This Row],[diff]]&gt;0,"import","export")</f>
        <v>export</v>
      </c>
    </row>
    <row r="28" spans="1:7" x14ac:dyDescent="0.3">
      <c r="A28" s="6">
        <v>2016</v>
      </c>
      <c r="B28" s="6">
        <v>2912120000</v>
      </c>
      <c r="C28" s="6" t="s">
        <v>286</v>
      </c>
      <c r="D28" s="6">
        <v>0</v>
      </c>
      <c r="E28" s="6">
        <v>77.3</v>
      </c>
      <c r="F28" s="8">
        <f t="shared" si="0"/>
        <v>77.3</v>
      </c>
      <c r="G28" t="str">
        <f>IF(표1[[#This Row],[diff]]&gt;0,"import","export")</f>
        <v>import</v>
      </c>
    </row>
    <row r="29" spans="1:7" x14ac:dyDescent="0.3">
      <c r="A29" s="6">
        <v>2016</v>
      </c>
      <c r="B29" s="6">
        <v>2912193000</v>
      </c>
      <c r="C29" s="6" t="s">
        <v>287</v>
      </c>
      <c r="D29" s="6">
        <v>0</v>
      </c>
      <c r="E29" s="7">
        <v>1193.0999999999999</v>
      </c>
      <c r="F29" s="8">
        <f t="shared" si="0"/>
        <v>1193.0999999999999</v>
      </c>
      <c r="G29" t="str">
        <f>IF(표1[[#This Row],[diff]]&gt;0,"import","export")</f>
        <v>import</v>
      </c>
    </row>
    <row r="30" spans="1:7" x14ac:dyDescent="0.3">
      <c r="A30" s="6">
        <v>2016</v>
      </c>
      <c r="B30" s="6">
        <v>2914110000</v>
      </c>
      <c r="C30" s="6" t="s">
        <v>288</v>
      </c>
      <c r="D30" s="7">
        <v>236152.7</v>
      </c>
      <c r="E30" s="7">
        <v>8932.7999999999993</v>
      </c>
      <c r="F30" s="8">
        <f t="shared" si="0"/>
        <v>-227219.90000000002</v>
      </c>
      <c r="G30" t="str">
        <f>IF(표1[[#This Row],[diff]]&gt;0,"import","export")</f>
        <v>export</v>
      </c>
    </row>
    <row r="31" spans="1:7" x14ac:dyDescent="0.3">
      <c r="A31" s="6">
        <v>2016</v>
      </c>
      <c r="B31" s="6">
        <v>2914221000</v>
      </c>
      <c r="C31" s="6" t="s">
        <v>289</v>
      </c>
      <c r="D31" s="7">
        <v>1121.7</v>
      </c>
      <c r="E31" s="7">
        <v>15515.7</v>
      </c>
      <c r="F31" s="8">
        <f t="shared" si="0"/>
        <v>14394</v>
      </c>
      <c r="G31" t="str">
        <f>IF(표1[[#This Row],[diff]]&gt;0,"import","export")</f>
        <v>import</v>
      </c>
    </row>
    <row r="32" spans="1:7" x14ac:dyDescent="0.3">
      <c r="A32" s="6">
        <v>2016</v>
      </c>
      <c r="B32" s="6">
        <v>2915210000</v>
      </c>
      <c r="C32" s="6" t="s">
        <v>290</v>
      </c>
      <c r="D32" s="7">
        <v>178866.7</v>
      </c>
      <c r="E32" s="7">
        <v>58774.5</v>
      </c>
      <c r="F32" s="8">
        <f t="shared" si="0"/>
        <v>-120092.20000000001</v>
      </c>
      <c r="G32" t="str">
        <f>IF(표1[[#This Row],[diff]]&gt;0,"import","export")</f>
        <v>export</v>
      </c>
    </row>
    <row r="33" spans="1:7" x14ac:dyDescent="0.3">
      <c r="A33" s="6">
        <v>2016</v>
      </c>
      <c r="B33" s="6">
        <v>2915320000</v>
      </c>
      <c r="C33" s="6" t="s">
        <v>291</v>
      </c>
      <c r="D33" s="6">
        <v>112.3</v>
      </c>
      <c r="E33" s="7">
        <v>50863.6</v>
      </c>
      <c r="F33" s="8">
        <f t="shared" si="0"/>
        <v>50751.299999999996</v>
      </c>
      <c r="G33" t="str">
        <f>IF(표1[[#This Row],[diff]]&gt;0,"import","export")</f>
        <v>import</v>
      </c>
    </row>
    <row r="34" spans="1:7" x14ac:dyDescent="0.3">
      <c r="A34" s="6">
        <v>2016</v>
      </c>
      <c r="B34" s="6">
        <v>2916111000</v>
      </c>
      <c r="C34" s="6" t="s">
        <v>292</v>
      </c>
      <c r="D34" s="7">
        <v>34004.199999999997</v>
      </c>
      <c r="E34" s="7">
        <v>23492.799999999999</v>
      </c>
      <c r="F34" s="8">
        <f t="shared" si="0"/>
        <v>-10511.399999999998</v>
      </c>
      <c r="G34" t="str">
        <f>IF(표1[[#This Row],[diff]]&gt;0,"import","export")</f>
        <v>export</v>
      </c>
    </row>
    <row r="35" spans="1:7" x14ac:dyDescent="0.3">
      <c r="A35" s="6">
        <v>2016</v>
      </c>
      <c r="B35" s="6">
        <v>2916121000</v>
      </c>
      <c r="C35" s="6" t="s">
        <v>293</v>
      </c>
      <c r="D35" s="7">
        <v>21125.8</v>
      </c>
      <c r="E35" s="7">
        <v>9909.2000000000007</v>
      </c>
      <c r="F35" s="8">
        <f t="shared" si="0"/>
        <v>-11216.599999999999</v>
      </c>
      <c r="G35" t="str">
        <f>IF(표1[[#This Row],[diff]]&gt;0,"import","export")</f>
        <v>export</v>
      </c>
    </row>
    <row r="36" spans="1:7" x14ac:dyDescent="0.3">
      <c r="A36" s="6">
        <v>2016</v>
      </c>
      <c r="B36" s="6">
        <v>2916141000</v>
      </c>
      <c r="C36" s="6" t="s">
        <v>294</v>
      </c>
      <c r="D36" s="7">
        <v>41607.300000000003</v>
      </c>
      <c r="E36" s="7">
        <v>77088.3</v>
      </c>
      <c r="F36" s="8">
        <f t="shared" si="0"/>
        <v>35481</v>
      </c>
      <c r="G36" t="str">
        <f>IF(표1[[#This Row],[diff]]&gt;0,"import","export")</f>
        <v>import</v>
      </c>
    </row>
    <row r="37" spans="1:7" x14ac:dyDescent="0.3">
      <c r="A37" s="6">
        <v>2016</v>
      </c>
      <c r="B37" s="6">
        <v>2917140000</v>
      </c>
      <c r="C37" s="6" t="s">
        <v>295</v>
      </c>
      <c r="D37" s="7">
        <v>34878.1</v>
      </c>
      <c r="E37" s="7">
        <v>1303.0999999999999</v>
      </c>
      <c r="F37" s="8">
        <f t="shared" si="0"/>
        <v>-33575</v>
      </c>
      <c r="G37" t="str">
        <f>IF(표1[[#This Row],[diff]]&gt;0,"import","export")</f>
        <v>export</v>
      </c>
    </row>
    <row r="38" spans="1:7" x14ac:dyDescent="0.3">
      <c r="A38" s="6">
        <v>2016</v>
      </c>
      <c r="B38" s="6">
        <v>2917350000</v>
      </c>
      <c r="C38" s="6" t="s">
        <v>296</v>
      </c>
      <c r="D38" s="7">
        <v>182623</v>
      </c>
      <c r="E38" s="6">
        <v>86</v>
      </c>
      <c r="F38" s="8">
        <f t="shared" si="0"/>
        <v>-182537</v>
      </c>
      <c r="G38" t="str">
        <f>IF(표1[[#This Row],[diff]]&gt;0,"import","export")</f>
        <v>export</v>
      </c>
    </row>
    <row r="39" spans="1:7" x14ac:dyDescent="0.3">
      <c r="A39" s="6">
        <v>2016</v>
      </c>
      <c r="B39" s="6">
        <v>2917361000</v>
      </c>
      <c r="C39" s="6" t="s">
        <v>297</v>
      </c>
      <c r="D39" s="7">
        <v>1776318</v>
      </c>
      <c r="E39" s="7">
        <v>1167.2</v>
      </c>
      <c r="F39" s="8">
        <f t="shared" si="0"/>
        <v>-1775150.8</v>
      </c>
      <c r="G39" t="str">
        <f>IF(표1[[#This Row],[diff]]&gt;0,"import","export")</f>
        <v>export</v>
      </c>
    </row>
    <row r="40" spans="1:7" x14ac:dyDescent="0.3">
      <c r="A40" s="6">
        <v>2016</v>
      </c>
      <c r="B40" s="6">
        <v>2917370000</v>
      </c>
      <c r="C40" s="6" t="s">
        <v>298</v>
      </c>
      <c r="D40" s="7">
        <v>37270.699999999997</v>
      </c>
      <c r="E40" s="6">
        <v>167.7</v>
      </c>
      <c r="F40" s="8">
        <f t="shared" si="0"/>
        <v>-37103</v>
      </c>
      <c r="G40" t="str">
        <f>IF(표1[[#This Row],[diff]]&gt;0,"import","export")</f>
        <v>export</v>
      </c>
    </row>
    <row r="41" spans="1:7" x14ac:dyDescent="0.3">
      <c r="A41" s="6">
        <v>2016</v>
      </c>
      <c r="B41" s="6">
        <v>2921411000</v>
      </c>
      <c r="C41" s="6" t="s">
        <v>299</v>
      </c>
      <c r="D41" s="7">
        <v>1792.6</v>
      </c>
      <c r="E41" s="7">
        <v>16224.2</v>
      </c>
      <c r="F41" s="8">
        <f t="shared" si="0"/>
        <v>14431.6</v>
      </c>
      <c r="G41" t="str">
        <f>IF(표1[[#This Row],[diff]]&gt;0,"import","export")</f>
        <v>import</v>
      </c>
    </row>
    <row r="42" spans="1:7" x14ac:dyDescent="0.3">
      <c r="A42" s="6">
        <v>2016</v>
      </c>
      <c r="B42" s="6">
        <v>2922111000</v>
      </c>
      <c r="C42" s="6" t="s">
        <v>300</v>
      </c>
      <c r="D42" s="7">
        <v>1433.5</v>
      </c>
      <c r="E42" s="7">
        <v>3728.2</v>
      </c>
      <c r="F42" s="8">
        <f t="shared" si="0"/>
        <v>2294.6999999999998</v>
      </c>
      <c r="G42" t="str">
        <f>IF(표1[[#This Row],[diff]]&gt;0,"import","export")</f>
        <v>import</v>
      </c>
    </row>
    <row r="43" spans="1:7" x14ac:dyDescent="0.3">
      <c r="A43" s="6">
        <v>2016</v>
      </c>
      <c r="B43" s="6">
        <v>2922121000</v>
      </c>
      <c r="C43" s="6" t="s">
        <v>301</v>
      </c>
      <c r="D43" s="6">
        <v>812.5</v>
      </c>
      <c r="E43" s="7">
        <v>2481.8000000000002</v>
      </c>
      <c r="F43" s="8">
        <f t="shared" si="0"/>
        <v>1669.3000000000002</v>
      </c>
      <c r="G43" t="str">
        <f>IF(표1[[#This Row],[diff]]&gt;0,"import","export")</f>
        <v>import</v>
      </c>
    </row>
    <row r="44" spans="1:7" x14ac:dyDescent="0.3">
      <c r="A44" s="6">
        <v>2016</v>
      </c>
      <c r="B44" s="6">
        <v>2926100000</v>
      </c>
      <c r="C44" s="6" t="s">
        <v>303</v>
      </c>
      <c r="D44" s="7">
        <v>240908.79999999999</v>
      </c>
      <c r="E44" s="7">
        <v>134577.4</v>
      </c>
      <c r="F44" s="8">
        <f t="shared" si="0"/>
        <v>-106331.4</v>
      </c>
      <c r="G44" t="str">
        <f>IF(표1[[#This Row],[diff]]&gt;0,"import","export")</f>
        <v>export</v>
      </c>
    </row>
    <row r="45" spans="1:7" x14ac:dyDescent="0.3">
      <c r="A45" s="6">
        <v>2016</v>
      </c>
      <c r="B45" s="6">
        <v>2929101000</v>
      </c>
      <c r="C45" s="6" t="s">
        <v>304</v>
      </c>
      <c r="D45" s="7">
        <v>264816.7</v>
      </c>
      <c r="E45" s="7">
        <v>1722.2</v>
      </c>
      <c r="F45" s="8">
        <f t="shared" si="0"/>
        <v>-263094.5</v>
      </c>
      <c r="G45" t="str">
        <f>IF(표1[[#This Row],[diff]]&gt;0,"import","export")</f>
        <v>export</v>
      </c>
    </row>
    <row r="46" spans="1:7" x14ac:dyDescent="0.3">
      <c r="A46" s="6">
        <v>2016</v>
      </c>
      <c r="B46" s="6">
        <v>2929102000</v>
      </c>
      <c r="C46" s="6" t="s">
        <v>305</v>
      </c>
      <c r="D46" s="7">
        <v>62561</v>
      </c>
      <c r="E46" s="7">
        <v>1427.4</v>
      </c>
      <c r="F46" s="8">
        <f t="shared" si="0"/>
        <v>-61133.599999999999</v>
      </c>
      <c r="G46" t="str">
        <f>IF(표1[[#This Row],[diff]]&gt;0,"import","export")</f>
        <v>export</v>
      </c>
    </row>
    <row r="47" spans="1:7" x14ac:dyDescent="0.3">
      <c r="A47" s="6">
        <v>2016</v>
      </c>
      <c r="B47" s="6">
        <v>2933710000</v>
      </c>
      <c r="C47" s="6" t="s">
        <v>306</v>
      </c>
      <c r="D47" s="7">
        <v>37265</v>
      </c>
      <c r="E47" s="7">
        <v>35903.599999999999</v>
      </c>
      <c r="F47" s="8">
        <f t="shared" si="0"/>
        <v>-1361.4000000000015</v>
      </c>
      <c r="G47" t="str">
        <f>IF(표1[[#This Row],[diff]]&gt;0,"import","export")</f>
        <v>export</v>
      </c>
    </row>
    <row r="48" spans="1:7" x14ac:dyDescent="0.3">
      <c r="A48" s="6">
        <v>2016</v>
      </c>
      <c r="B48" s="6">
        <v>3901101000</v>
      </c>
      <c r="C48" s="6" t="s">
        <v>307</v>
      </c>
      <c r="D48" s="7">
        <v>552332.6</v>
      </c>
      <c r="E48" s="7">
        <v>12545.3</v>
      </c>
      <c r="F48" s="8">
        <f t="shared" si="0"/>
        <v>-539787.29999999993</v>
      </c>
      <c r="G48" t="str">
        <f>IF(표1[[#This Row],[diff]]&gt;0,"import","export")</f>
        <v>export</v>
      </c>
    </row>
    <row r="49" spans="1:7" x14ac:dyDescent="0.3">
      <c r="A49" s="6">
        <v>2016</v>
      </c>
      <c r="B49" s="6">
        <v>3902100000</v>
      </c>
      <c r="C49" s="6" t="s">
        <v>308</v>
      </c>
      <c r="D49" s="7">
        <v>1408291</v>
      </c>
      <c r="E49" s="7">
        <v>14296.1</v>
      </c>
      <c r="F49" s="8">
        <f t="shared" si="0"/>
        <v>-1393994.9</v>
      </c>
      <c r="G49" t="str">
        <f>IF(표1[[#This Row],[diff]]&gt;0,"import","export")</f>
        <v>export</v>
      </c>
    </row>
    <row r="50" spans="1:7" x14ac:dyDescent="0.3">
      <c r="A50" s="6">
        <v>2016</v>
      </c>
      <c r="B50" s="6">
        <v>3902200000</v>
      </c>
      <c r="C50" s="6" t="s">
        <v>309</v>
      </c>
      <c r="D50" s="7">
        <v>158533.5</v>
      </c>
      <c r="E50" s="7">
        <v>1308.7</v>
      </c>
      <c r="F50" s="8">
        <f t="shared" si="0"/>
        <v>-157224.79999999999</v>
      </c>
      <c r="G50" t="str">
        <f>IF(표1[[#This Row],[diff]]&gt;0,"import","export")</f>
        <v>export</v>
      </c>
    </row>
    <row r="51" spans="1:7" x14ac:dyDescent="0.3">
      <c r="A51" s="6">
        <v>2016</v>
      </c>
      <c r="B51" s="6">
        <v>3903200000</v>
      </c>
      <c r="C51" s="6" t="s">
        <v>310</v>
      </c>
      <c r="D51" s="7">
        <v>132524.9</v>
      </c>
      <c r="E51" s="7">
        <v>5571.4</v>
      </c>
      <c r="F51" s="8">
        <f t="shared" si="0"/>
        <v>-126953.5</v>
      </c>
      <c r="G51" t="str">
        <f>IF(표1[[#This Row],[diff]]&gt;0,"import","export")</f>
        <v>export</v>
      </c>
    </row>
    <row r="52" spans="1:7" x14ac:dyDescent="0.3">
      <c r="A52" s="6">
        <v>2016</v>
      </c>
      <c r="B52" s="6">
        <v>3903300000</v>
      </c>
      <c r="C52" s="6" t="s">
        <v>311</v>
      </c>
      <c r="D52" s="7">
        <v>1351793.8</v>
      </c>
      <c r="E52" s="7">
        <v>10357</v>
      </c>
      <c r="F52" s="8">
        <f t="shared" si="0"/>
        <v>-1341436.8</v>
      </c>
      <c r="G52" t="str">
        <f>IF(표1[[#This Row],[diff]]&gt;0,"import","export")</f>
        <v>export</v>
      </c>
    </row>
    <row r="53" spans="1:7" x14ac:dyDescent="0.3">
      <c r="A53" s="6">
        <v>2016</v>
      </c>
      <c r="B53" s="6">
        <v>3903901000</v>
      </c>
      <c r="C53" s="6" t="s">
        <v>312</v>
      </c>
      <c r="D53" s="7">
        <v>277123.59999999998</v>
      </c>
      <c r="E53" s="7">
        <v>7176</v>
      </c>
      <c r="F53" s="8">
        <f t="shared" si="0"/>
        <v>-269947.59999999998</v>
      </c>
      <c r="G53" t="str">
        <f>IF(표1[[#This Row],[diff]]&gt;0,"import","export")</f>
        <v>export</v>
      </c>
    </row>
    <row r="54" spans="1:7" x14ac:dyDescent="0.3">
      <c r="A54" s="6">
        <v>2016</v>
      </c>
      <c r="B54" s="6">
        <v>3906100000</v>
      </c>
      <c r="C54" s="6" t="s">
        <v>313</v>
      </c>
      <c r="D54" s="7">
        <v>143639.79999999999</v>
      </c>
      <c r="E54" s="7">
        <v>10627.9</v>
      </c>
      <c r="F54" s="8">
        <f t="shared" si="0"/>
        <v>-133011.9</v>
      </c>
      <c r="G54" t="str">
        <f>IF(표1[[#This Row],[diff]]&gt;0,"import","export")</f>
        <v>export</v>
      </c>
    </row>
    <row r="55" spans="1:7" x14ac:dyDescent="0.3">
      <c r="A55" s="6">
        <v>2016</v>
      </c>
      <c r="B55" s="6">
        <v>3907400000</v>
      </c>
      <c r="C55" s="6" t="s">
        <v>314</v>
      </c>
      <c r="D55" s="7">
        <v>592535.6</v>
      </c>
      <c r="E55" s="7">
        <v>82813.8</v>
      </c>
      <c r="F55" s="8">
        <f t="shared" si="0"/>
        <v>-509721.8</v>
      </c>
      <c r="G55" t="str">
        <f>IF(표1[[#This Row],[diff]]&gt;0,"import","export")</f>
        <v>export</v>
      </c>
    </row>
    <row r="56" spans="1:7" x14ac:dyDescent="0.3">
      <c r="A56" s="6">
        <v>2016</v>
      </c>
      <c r="B56" s="6">
        <v>3909500000</v>
      </c>
      <c r="C56" s="6" t="s">
        <v>315</v>
      </c>
      <c r="D56" s="7">
        <v>76228.100000000006</v>
      </c>
      <c r="E56" s="7">
        <v>24093.9</v>
      </c>
      <c r="F56" s="8">
        <f t="shared" si="0"/>
        <v>-52134.200000000004</v>
      </c>
      <c r="G56" t="str">
        <f>IF(표1[[#This Row],[diff]]&gt;0,"import","export")</f>
        <v>export</v>
      </c>
    </row>
    <row r="57" spans="1:7" x14ac:dyDescent="0.3">
      <c r="A57" s="6">
        <v>2017</v>
      </c>
      <c r="B57" s="6">
        <v>2207200000</v>
      </c>
      <c r="C57" s="6" t="s">
        <v>331</v>
      </c>
      <c r="D57" s="7">
        <v>1987.2</v>
      </c>
      <c r="E57" s="7">
        <v>163117.5</v>
      </c>
      <c r="F57" s="8">
        <f t="shared" si="0"/>
        <v>161130.29999999999</v>
      </c>
      <c r="G57" t="str">
        <f>IF(표1[[#This Row],[diff]]&gt;0,"import","export")</f>
        <v>import</v>
      </c>
    </row>
    <row r="58" spans="1:7" x14ac:dyDescent="0.3">
      <c r="A58" s="6">
        <v>2017</v>
      </c>
      <c r="B58" s="6">
        <v>2901291000</v>
      </c>
      <c r="C58" s="6" t="s">
        <v>261</v>
      </c>
      <c r="D58" s="6">
        <v>809.8</v>
      </c>
      <c r="E58" s="7">
        <v>23581.4</v>
      </c>
      <c r="F58" s="8">
        <f t="shared" si="0"/>
        <v>22771.600000000002</v>
      </c>
      <c r="G58" t="str">
        <f>IF(표1[[#This Row],[diff]]&gt;0,"import","export")</f>
        <v>import</v>
      </c>
    </row>
    <row r="59" spans="1:7" x14ac:dyDescent="0.3">
      <c r="A59" s="6">
        <v>2017</v>
      </c>
      <c r="B59" s="6">
        <v>2901292000</v>
      </c>
      <c r="C59" s="6" t="s">
        <v>262</v>
      </c>
      <c r="D59" s="6">
        <v>11.2</v>
      </c>
      <c r="E59" s="7">
        <v>68026.100000000006</v>
      </c>
      <c r="F59" s="8">
        <f t="shared" si="0"/>
        <v>68014.900000000009</v>
      </c>
      <c r="G59" t="str">
        <f>IF(표1[[#This Row],[diff]]&gt;0,"import","export")</f>
        <v>import</v>
      </c>
    </row>
    <row r="60" spans="1:7" x14ac:dyDescent="0.3">
      <c r="A60" s="6">
        <v>2017</v>
      </c>
      <c r="B60" s="6">
        <v>2902110000</v>
      </c>
      <c r="C60" s="6" t="s">
        <v>263</v>
      </c>
      <c r="D60" s="7">
        <v>5679.1</v>
      </c>
      <c r="E60" s="7">
        <v>40981.1</v>
      </c>
      <c r="F60" s="8">
        <f t="shared" si="0"/>
        <v>35302</v>
      </c>
      <c r="G60" t="str">
        <f>IF(표1[[#This Row],[diff]]&gt;0,"import","export")</f>
        <v>import</v>
      </c>
    </row>
    <row r="61" spans="1:7" x14ac:dyDescent="0.3">
      <c r="A61" s="6">
        <v>2017</v>
      </c>
      <c r="B61" s="6">
        <v>2902200000</v>
      </c>
      <c r="C61" s="6" t="s">
        <v>264</v>
      </c>
      <c r="D61" s="7">
        <v>2631920</v>
      </c>
      <c r="E61" s="7">
        <v>18002.7</v>
      </c>
      <c r="F61" s="8">
        <f t="shared" si="0"/>
        <v>-2613917.2999999998</v>
      </c>
      <c r="G61" t="str">
        <f>IF(표1[[#This Row],[diff]]&gt;0,"import","export")</f>
        <v>export</v>
      </c>
    </row>
    <row r="62" spans="1:7" x14ac:dyDescent="0.3">
      <c r="A62" s="6">
        <v>2017</v>
      </c>
      <c r="B62" s="6">
        <v>2902300000</v>
      </c>
      <c r="C62" s="6" t="s">
        <v>265</v>
      </c>
      <c r="D62" s="7">
        <v>360776.3</v>
      </c>
      <c r="E62" s="7">
        <v>736086.3</v>
      </c>
      <c r="F62" s="8">
        <f t="shared" si="0"/>
        <v>375310.00000000006</v>
      </c>
      <c r="G62" t="str">
        <f>IF(표1[[#This Row],[diff]]&gt;0,"import","export")</f>
        <v>import</v>
      </c>
    </row>
    <row r="63" spans="1:7" x14ac:dyDescent="0.3">
      <c r="A63" s="6">
        <v>2017</v>
      </c>
      <c r="B63" s="6">
        <v>2902410000</v>
      </c>
      <c r="C63" s="6" t="s">
        <v>266</v>
      </c>
      <c r="D63" s="7">
        <v>48432.4</v>
      </c>
      <c r="E63" s="7">
        <v>28122.5</v>
      </c>
      <c r="F63" s="8">
        <f t="shared" si="0"/>
        <v>-20309.900000000001</v>
      </c>
      <c r="G63" t="str">
        <f>IF(표1[[#This Row],[diff]]&gt;0,"import","export")</f>
        <v>export</v>
      </c>
    </row>
    <row r="64" spans="1:7" x14ac:dyDescent="0.3">
      <c r="A64" s="6">
        <v>2017</v>
      </c>
      <c r="B64" s="6">
        <v>2902420000</v>
      </c>
      <c r="C64" s="6" t="s">
        <v>267</v>
      </c>
      <c r="D64" s="6">
        <v>0</v>
      </c>
      <c r="E64" s="7">
        <v>87975.7</v>
      </c>
      <c r="F64" s="8">
        <f t="shared" si="0"/>
        <v>87975.7</v>
      </c>
      <c r="G64" t="str">
        <f>IF(표1[[#This Row],[diff]]&gt;0,"import","export")</f>
        <v>import</v>
      </c>
    </row>
    <row r="65" spans="1:7" x14ac:dyDescent="0.3">
      <c r="A65" s="6">
        <v>2017</v>
      </c>
      <c r="B65" s="6">
        <v>2902430000</v>
      </c>
      <c r="C65" s="6" t="s">
        <v>268</v>
      </c>
      <c r="D65" s="7">
        <v>7315353.0999999996</v>
      </c>
      <c r="E65" s="7">
        <v>24764.2</v>
      </c>
      <c r="F65" s="8">
        <f t="shared" si="0"/>
        <v>-7290588.8999999994</v>
      </c>
      <c r="G65" t="str">
        <f>IF(표1[[#This Row],[diff]]&gt;0,"import","export")</f>
        <v>export</v>
      </c>
    </row>
    <row r="66" spans="1:7" x14ac:dyDescent="0.3">
      <c r="A66" s="6">
        <v>2017</v>
      </c>
      <c r="B66" s="6">
        <v>2902500000</v>
      </c>
      <c r="C66" s="6" t="s">
        <v>269</v>
      </c>
      <c r="D66" s="7">
        <v>1261869.1000000001</v>
      </c>
      <c r="E66" s="7">
        <v>794030.1</v>
      </c>
      <c r="F66" s="8">
        <f t="shared" si="0"/>
        <v>-467839.00000000012</v>
      </c>
      <c r="G66" t="str">
        <f>IF(표1[[#This Row],[diff]]&gt;0,"import","export")</f>
        <v>export</v>
      </c>
    </row>
    <row r="67" spans="1:7" x14ac:dyDescent="0.3">
      <c r="A67" s="6">
        <v>2017</v>
      </c>
      <c r="B67" s="6">
        <v>2902600000</v>
      </c>
      <c r="C67" s="6" t="s">
        <v>270</v>
      </c>
      <c r="D67" s="6">
        <v>36</v>
      </c>
      <c r="E67" s="6">
        <v>2.5</v>
      </c>
      <c r="F67" s="8">
        <f t="shared" ref="F67:F130" si="1">E67-D67</f>
        <v>-33.5</v>
      </c>
      <c r="G67" t="str">
        <f>IF(표1[[#This Row],[diff]]&gt;0,"import","export")</f>
        <v>export</v>
      </c>
    </row>
    <row r="68" spans="1:7" x14ac:dyDescent="0.3">
      <c r="A68" s="6">
        <v>2017</v>
      </c>
      <c r="B68" s="6">
        <v>2902700000</v>
      </c>
      <c r="C68" s="6" t="s">
        <v>271</v>
      </c>
      <c r="D68" s="7">
        <v>7503.9</v>
      </c>
      <c r="E68" s="7">
        <v>16490.900000000001</v>
      </c>
      <c r="F68" s="8">
        <f t="shared" si="1"/>
        <v>8987.0000000000018</v>
      </c>
      <c r="G68" t="str">
        <f>IF(표1[[#This Row],[diff]]&gt;0,"import","export")</f>
        <v>import</v>
      </c>
    </row>
    <row r="69" spans="1:7" x14ac:dyDescent="0.3">
      <c r="A69" s="6">
        <v>2017</v>
      </c>
      <c r="B69" s="6">
        <v>2903150000</v>
      </c>
      <c r="C69" s="6" t="s">
        <v>272</v>
      </c>
      <c r="D69" s="7">
        <v>184368.8</v>
      </c>
      <c r="E69" s="7">
        <v>228287.3</v>
      </c>
      <c r="F69" s="8">
        <f t="shared" si="1"/>
        <v>43918.5</v>
      </c>
      <c r="G69" t="str">
        <f>IF(표1[[#This Row],[diff]]&gt;0,"import","export")</f>
        <v>import</v>
      </c>
    </row>
    <row r="70" spans="1:7" x14ac:dyDescent="0.3">
      <c r="A70" s="6">
        <v>2017</v>
      </c>
      <c r="B70" s="6">
        <v>2903210000</v>
      </c>
      <c r="C70" s="6" t="s">
        <v>273</v>
      </c>
      <c r="D70" s="7">
        <v>57062.3</v>
      </c>
      <c r="E70" s="7">
        <v>40511.4</v>
      </c>
      <c r="F70" s="8">
        <f t="shared" si="1"/>
        <v>-16550.900000000001</v>
      </c>
      <c r="G70" t="str">
        <f>IF(표1[[#This Row],[diff]]&gt;0,"import","export")</f>
        <v>export</v>
      </c>
    </row>
    <row r="71" spans="1:7" x14ac:dyDescent="0.3">
      <c r="A71" s="6">
        <v>2017</v>
      </c>
      <c r="B71" s="6">
        <v>2905110000</v>
      </c>
      <c r="C71" s="6" t="s">
        <v>274</v>
      </c>
      <c r="D71" s="7">
        <v>3603.9</v>
      </c>
      <c r="E71" s="7">
        <v>1692017.8</v>
      </c>
      <c r="F71" s="8">
        <f t="shared" si="1"/>
        <v>1688413.9000000001</v>
      </c>
      <c r="G71" t="str">
        <f>IF(표1[[#This Row],[diff]]&gt;0,"import","export")</f>
        <v>import</v>
      </c>
    </row>
    <row r="72" spans="1:7" x14ac:dyDescent="0.3">
      <c r="A72" s="6">
        <v>2017</v>
      </c>
      <c r="B72" s="6">
        <v>2905121000</v>
      </c>
      <c r="C72" s="6" t="s">
        <v>275</v>
      </c>
      <c r="D72" s="6">
        <v>19.399999999999999</v>
      </c>
      <c r="E72" s="7">
        <v>2266.8000000000002</v>
      </c>
      <c r="F72" s="8">
        <f t="shared" si="1"/>
        <v>2247.4</v>
      </c>
      <c r="G72" t="str">
        <f>IF(표1[[#This Row],[diff]]&gt;0,"import","export")</f>
        <v>import</v>
      </c>
    </row>
    <row r="73" spans="1:7" x14ac:dyDescent="0.3">
      <c r="A73" s="6">
        <v>2017</v>
      </c>
      <c r="B73" s="6">
        <v>2905130000</v>
      </c>
      <c r="C73" s="6" t="s">
        <v>276</v>
      </c>
      <c r="D73" s="6">
        <v>92.2</v>
      </c>
      <c r="E73" s="7">
        <v>74481.7</v>
      </c>
      <c r="F73" s="8">
        <f t="shared" si="1"/>
        <v>74389.5</v>
      </c>
      <c r="G73" t="str">
        <f>IF(표1[[#This Row],[diff]]&gt;0,"import","export")</f>
        <v>import</v>
      </c>
    </row>
    <row r="74" spans="1:7" x14ac:dyDescent="0.3">
      <c r="A74" s="6">
        <v>2017</v>
      </c>
      <c r="B74" s="6">
        <v>2905161000</v>
      </c>
      <c r="C74" s="6" t="s">
        <v>277</v>
      </c>
      <c r="D74" s="7">
        <v>48522.1</v>
      </c>
      <c r="E74" s="7">
        <v>126659.6</v>
      </c>
      <c r="F74" s="8">
        <f t="shared" si="1"/>
        <v>78137.5</v>
      </c>
      <c r="G74" t="str">
        <f>IF(표1[[#This Row],[diff]]&gt;0,"import","export")</f>
        <v>import</v>
      </c>
    </row>
    <row r="75" spans="1:7" x14ac:dyDescent="0.3">
      <c r="A75" s="6">
        <v>2017</v>
      </c>
      <c r="B75" s="6">
        <v>2905310000</v>
      </c>
      <c r="C75" s="6" t="s">
        <v>278</v>
      </c>
      <c r="D75" s="7">
        <v>454531.6</v>
      </c>
      <c r="E75" s="7">
        <v>252794.8</v>
      </c>
      <c r="F75" s="8">
        <f t="shared" si="1"/>
        <v>-201736.8</v>
      </c>
      <c r="G75" t="str">
        <f>IF(표1[[#This Row],[diff]]&gt;0,"import","export")</f>
        <v>export</v>
      </c>
    </row>
    <row r="76" spans="1:7" x14ac:dyDescent="0.3">
      <c r="A76" s="6">
        <v>2017</v>
      </c>
      <c r="B76" s="6">
        <v>2905320000</v>
      </c>
      <c r="C76" s="6" t="s">
        <v>279</v>
      </c>
      <c r="D76" s="7">
        <v>65584.100000000006</v>
      </c>
      <c r="E76" s="7">
        <v>12967.7</v>
      </c>
      <c r="F76" s="8">
        <f t="shared" si="1"/>
        <v>-52616.400000000009</v>
      </c>
      <c r="G76" t="str">
        <f>IF(표1[[#This Row],[diff]]&gt;0,"import","export")</f>
        <v>export</v>
      </c>
    </row>
    <row r="77" spans="1:7" x14ac:dyDescent="0.3">
      <c r="A77" s="6">
        <v>2017</v>
      </c>
      <c r="B77" s="6">
        <v>2907111000</v>
      </c>
      <c r="C77" s="6" t="s">
        <v>280</v>
      </c>
      <c r="D77" s="7">
        <v>345950.6</v>
      </c>
      <c r="E77" s="7">
        <v>26283.9</v>
      </c>
      <c r="F77" s="8">
        <f t="shared" si="1"/>
        <v>-319666.69999999995</v>
      </c>
      <c r="G77" t="str">
        <f>IF(표1[[#This Row],[diff]]&gt;0,"import","export")</f>
        <v>export</v>
      </c>
    </row>
    <row r="78" spans="1:7" x14ac:dyDescent="0.3">
      <c r="A78" s="6">
        <v>2017</v>
      </c>
      <c r="B78" s="6">
        <v>2907231000</v>
      </c>
      <c r="C78" s="6" t="s">
        <v>281</v>
      </c>
      <c r="D78" s="7">
        <v>303227.8</v>
      </c>
      <c r="E78" s="7">
        <v>108262.5</v>
      </c>
      <c r="F78" s="8">
        <f t="shared" si="1"/>
        <v>-194965.3</v>
      </c>
      <c r="G78" t="str">
        <f>IF(표1[[#This Row],[diff]]&gt;0,"import","export")</f>
        <v>export</v>
      </c>
    </row>
    <row r="79" spans="1:7" x14ac:dyDescent="0.3">
      <c r="A79" s="6">
        <v>2017</v>
      </c>
      <c r="B79" s="6">
        <v>2909192000</v>
      </c>
      <c r="C79" s="6" t="s">
        <v>282</v>
      </c>
      <c r="D79" s="7">
        <v>3439.3</v>
      </c>
      <c r="E79" s="7">
        <v>153831.1</v>
      </c>
      <c r="F79" s="8">
        <f t="shared" si="1"/>
        <v>150391.80000000002</v>
      </c>
      <c r="G79" t="str">
        <f>IF(표1[[#This Row],[diff]]&gt;0,"import","export")</f>
        <v>import</v>
      </c>
    </row>
    <row r="80" spans="1:7" x14ac:dyDescent="0.3">
      <c r="A80" s="6">
        <v>2017</v>
      </c>
      <c r="B80" s="6">
        <v>2910100000</v>
      </c>
      <c r="C80" s="6" t="s">
        <v>283</v>
      </c>
      <c r="D80" s="6">
        <v>71.3</v>
      </c>
      <c r="E80" s="6">
        <v>63.1</v>
      </c>
      <c r="F80" s="8">
        <f t="shared" si="1"/>
        <v>-8.1999999999999957</v>
      </c>
      <c r="G80" t="str">
        <f>IF(표1[[#This Row],[diff]]&gt;0,"import","export")</f>
        <v>export</v>
      </c>
    </row>
    <row r="81" spans="1:7" x14ac:dyDescent="0.3">
      <c r="A81" s="6">
        <v>2017</v>
      </c>
      <c r="B81" s="6">
        <v>2910200000</v>
      </c>
      <c r="C81" s="6" t="s">
        <v>284</v>
      </c>
      <c r="D81" s="7">
        <v>5149.5</v>
      </c>
      <c r="E81" s="7">
        <v>118890.1</v>
      </c>
      <c r="F81" s="8">
        <f t="shared" si="1"/>
        <v>113740.6</v>
      </c>
      <c r="G81" t="str">
        <f>IF(표1[[#This Row],[diff]]&gt;0,"import","export")</f>
        <v>import</v>
      </c>
    </row>
    <row r="82" spans="1:7" x14ac:dyDescent="0.3">
      <c r="A82" s="6">
        <v>2017</v>
      </c>
      <c r="B82" s="6">
        <v>2912110000</v>
      </c>
      <c r="C82" s="6" t="s">
        <v>285</v>
      </c>
      <c r="D82" s="6">
        <v>139</v>
      </c>
      <c r="E82" s="6">
        <v>490.1</v>
      </c>
      <c r="F82" s="8">
        <f t="shared" si="1"/>
        <v>351.1</v>
      </c>
      <c r="G82" t="str">
        <f>IF(표1[[#This Row],[diff]]&gt;0,"import","export")</f>
        <v>import</v>
      </c>
    </row>
    <row r="83" spans="1:7" x14ac:dyDescent="0.3">
      <c r="A83" s="6">
        <v>2017</v>
      </c>
      <c r="B83" s="6">
        <v>2912120000</v>
      </c>
      <c r="C83" s="6" t="s">
        <v>286</v>
      </c>
      <c r="D83" s="6">
        <v>0</v>
      </c>
      <c r="E83" s="6">
        <v>19.8</v>
      </c>
      <c r="F83" s="8">
        <f t="shared" si="1"/>
        <v>19.8</v>
      </c>
      <c r="G83" t="str">
        <f>IF(표1[[#This Row],[diff]]&gt;0,"import","export")</f>
        <v>import</v>
      </c>
    </row>
    <row r="84" spans="1:7" x14ac:dyDescent="0.3">
      <c r="A84" s="6">
        <v>2017</v>
      </c>
      <c r="B84" s="6">
        <v>2912193000</v>
      </c>
      <c r="C84" s="6" t="s">
        <v>287</v>
      </c>
      <c r="D84" s="6">
        <v>595</v>
      </c>
      <c r="E84" s="7">
        <v>1378.5</v>
      </c>
      <c r="F84" s="8">
        <f t="shared" si="1"/>
        <v>783.5</v>
      </c>
      <c r="G84" t="str">
        <f>IF(표1[[#This Row],[diff]]&gt;0,"import","export")</f>
        <v>import</v>
      </c>
    </row>
    <row r="85" spans="1:7" x14ac:dyDescent="0.3">
      <c r="A85" s="6">
        <v>2017</v>
      </c>
      <c r="B85" s="6">
        <v>2914110000</v>
      </c>
      <c r="C85" s="6" t="s">
        <v>288</v>
      </c>
      <c r="D85" s="7">
        <v>287406.8</v>
      </c>
      <c r="E85" s="7">
        <v>15945.3</v>
      </c>
      <c r="F85" s="8">
        <f t="shared" si="1"/>
        <v>-271461.5</v>
      </c>
      <c r="G85" t="str">
        <f>IF(표1[[#This Row],[diff]]&gt;0,"import","export")</f>
        <v>export</v>
      </c>
    </row>
    <row r="86" spans="1:7" x14ac:dyDescent="0.3">
      <c r="A86" s="6">
        <v>2017</v>
      </c>
      <c r="B86" s="6">
        <v>2914221000</v>
      </c>
      <c r="C86" s="6" t="s">
        <v>289</v>
      </c>
      <c r="D86" s="7">
        <v>1190.0999999999999</v>
      </c>
      <c r="E86" s="7">
        <v>30233.1</v>
      </c>
      <c r="F86" s="8">
        <f t="shared" si="1"/>
        <v>29043</v>
      </c>
      <c r="G86" t="str">
        <f>IF(표1[[#This Row],[diff]]&gt;0,"import","export")</f>
        <v>import</v>
      </c>
    </row>
    <row r="87" spans="1:7" x14ac:dyDescent="0.3">
      <c r="A87" s="6">
        <v>2017</v>
      </c>
      <c r="B87" s="6">
        <v>2915210000</v>
      </c>
      <c r="C87" s="6" t="s">
        <v>290</v>
      </c>
      <c r="D87" s="7">
        <v>162859.70000000001</v>
      </c>
      <c r="E87" s="7">
        <v>63904.800000000003</v>
      </c>
      <c r="F87" s="8">
        <f t="shared" si="1"/>
        <v>-98954.900000000009</v>
      </c>
      <c r="G87" t="str">
        <f>IF(표1[[#This Row],[diff]]&gt;0,"import","export")</f>
        <v>export</v>
      </c>
    </row>
    <row r="88" spans="1:7" x14ac:dyDescent="0.3">
      <c r="A88" s="6">
        <v>2017</v>
      </c>
      <c r="B88" s="6">
        <v>2915320000</v>
      </c>
      <c r="C88" s="6" t="s">
        <v>291</v>
      </c>
      <c r="D88" s="7">
        <v>7111.7</v>
      </c>
      <c r="E88" s="7">
        <v>84351.8</v>
      </c>
      <c r="F88" s="8">
        <f t="shared" si="1"/>
        <v>77240.100000000006</v>
      </c>
      <c r="G88" t="str">
        <f>IF(표1[[#This Row],[diff]]&gt;0,"import","export")</f>
        <v>import</v>
      </c>
    </row>
    <row r="89" spans="1:7" x14ac:dyDescent="0.3">
      <c r="A89" s="6">
        <v>2017</v>
      </c>
      <c r="B89" s="6">
        <v>2916111000</v>
      </c>
      <c r="C89" s="6" t="s">
        <v>292</v>
      </c>
      <c r="D89" s="7">
        <v>14005.8</v>
      </c>
      <c r="E89" s="7">
        <v>23581.200000000001</v>
      </c>
      <c r="F89" s="8">
        <f t="shared" si="1"/>
        <v>9575.4000000000015</v>
      </c>
      <c r="G89" t="str">
        <f>IF(표1[[#This Row],[diff]]&gt;0,"import","export")</f>
        <v>import</v>
      </c>
    </row>
    <row r="90" spans="1:7" x14ac:dyDescent="0.3">
      <c r="A90" s="6">
        <v>2017</v>
      </c>
      <c r="B90" s="6">
        <v>2916121000</v>
      </c>
      <c r="C90" s="6" t="s">
        <v>293</v>
      </c>
      <c r="D90" s="7">
        <v>16279.6</v>
      </c>
      <c r="E90" s="7">
        <v>8047.7</v>
      </c>
      <c r="F90" s="8">
        <f t="shared" si="1"/>
        <v>-8231.9000000000015</v>
      </c>
      <c r="G90" t="str">
        <f>IF(표1[[#This Row],[diff]]&gt;0,"import","export")</f>
        <v>export</v>
      </c>
    </row>
    <row r="91" spans="1:7" x14ac:dyDescent="0.3">
      <c r="A91" s="6">
        <v>2017</v>
      </c>
      <c r="B91" s="6">
        <v>2916141000</v>
      </c>
      <c r="C91" s="6" t="s">
        <v>294</v>
      </c>
      <c r="D91" s="7">
        <v>38297.599999999999</v>
      </c>
      <c r="E91" s="7">
        <v>98977.600000000006</v>
      </c>
      <c r="F91" s="8">
        <f t="shared" si="1"/>
        <v>60680.000000000007</v>
      </c>
      <c r="G91" t="str">
        <f>IF(표1[[#This Row],[diff]]&gt;0,"import","export")</f>
        <v>import</v>
      </c>
    </row>
    <row r="92" spans="1:7" x14ac:dyDescent="0.3">
      <c r="A92" s="6">
        <v>2017</v>
      </c>
      <c r="B92" s="6">
        <v>2917140000</v>
      </c>
      <c r="C92" s="6" t="s">
        <v>295</v>
      </c>
      <c r="D92" s="7">
        <v>35546.300000000003</v>
      </c>
      <c r="E92" s="6">
        <v>767.3</v>
      </c>
      <c r="F92" s="8">
        <f t="shared" si="1"/>
        <v>-34779</v>
      </c>
      <c r="G92" t="str">
        <f>IF(표1[[#This Row],[diff]]&gt;0,"import","export")</f>
        <v>export</v>
      </c>
    </row>
    <row r="93" spans="1:7" x14ac:dyDescent="0.3">
      <c r="A93" s="6">
        <v>2017</v>
      </c>
      <c r="B93" s="6">
        <v>2917350000</v>
      </c>
      <c r="C93" s="6" t="s">
        <v>296</v>
      </c>
      <c r="D93" s="7">
        <v>168670.5</v>
      </c>
      <c r="E93" s="6">
        <v>109.7</v>
      </c>
      <c r="F93" s="8">
        <f t="shared" si="1"/>
        <v>-168560.8</v>
      </c>
      <c r="G93" t="str">
        <f>IF(표1[[#This Row],[diff]]&gt;0,"import","export")</f>
        <v>export</v>
      </c>
    </row>
    <row r="94" spans="1:7" x14ac:dyDescent="0.3">
      <c r="A94" s="6">
        <v>2017</v>
      </c>
      <c r="B94" s="6">
        <v>2917361000</v>
      </c>
      <c r="C94" s="6" t="s">
        <v>297</v>
      </c>
      <c r="D94" s="7">
        <v>1939571.7</v>
      </c>
      <c r="E94" s="6">
        <v>323.89999999999998</v>
      </c>
      <c r="F94" s="8">
        <f t="shared" si="1"/>
        <v>-1939247.8</v>
      </c>
      <c r="G94" t="str">
        <f>IF(표1[[#This Row],[diff]]&gt;0,"import","export")</f>
        <v>export</v>
      </c>
    </row>
    <row r="95" spans="1:7" x14ac:dyDescent="0.3">
      <c r="A95" s="6">
        <v>2017</v>
      </c>
      <c r="B95" s="6">
        <v>2917370000</v>
      </c>
      <c r="C95" s="6" t="s">
        <v>298</v>
      </c>
      <c r="D95" s="7">
        <v>49480.5</v>
      </c>
      <c r="E95" s="6">
        <v>287</v>
      </c>
      <c r="F95" s="8">
        <f t="shared" si="1"/>
        <v>-49193.5</v>
      </c>
      <c r="G95" t="str">
        <f>IF(표1[[#This Row],[diff]]&gt;0,"import","export")</f>
        <v>export</v>
      </c>
    </row>
    <row r="96" spans="1:7" x14ac:dyDescent="0.3">
      <c r="A96" s="6">
        <v>2017</v>
      </c>
      <c r="B96" s="6">
        <v>2921411000</v>
      </c>
      <c r="C96" s="6" t="s">
        <v>299</v>
      </c>
      <c r="D96" s="7">
        <v>3636.8</v>
      </c>
      <c r="E96" s="7">
        <v>17349.900000000001</v>
      </c>
      <c r="F96" s="8">
        <f t="shared" si="1"/>
        <v>13713.100000000002</v>
      </c>
      <c r="G96" t="str">
        <f>IF(표1[[#This Row],[diff]]&gt;0,"import","export")</f>
        <v>import</v>
      </c>
    </row>
    <row r="97" spans="1:7" x14ac:dyDescent="0.3">
      <c r="A97" s="6">
        <v>2017</v>
      </c>
      <c r="B97" s="6">
        <v>2922111000</v>
      </c>
      <c r="C97" s="6" t="s">
        <v>300</v>
      </c>
      <c r="D97" s="6">
        <v>429</v>
      </c>
      <c r="E97" s="7">
        <v>4901.6000000000004</v>
      </c>
      <c r="F97" s="8">
        <f t="shared" si="1"/>
        <v>4472.6000000000004</v>
      </c>
      <c r="G97" t="str">
        <f>IF(표1[[#This Row],[diff]]&gt;0,"import","export")</f>
        <v>import</v>
      </c>
    </row>
    <row r="98" spans="1:7" x14ac:dyDescent="0.3">
      <c r="A98" s="6">
        <v>2017</v>
      </c>
      <c r="B98" s="6">
        <v>2922121000</v>
      </c>
      <c r="C98" s="6" t="s">
        <v>301</v>
      </c>
      <c r="D98" s="6">
        <v>442.1</v>
      </c>
      <c r="E98" s="7">
        <v>2513</v>
      </c>
      <c r="F98" s="8">
        <f t="shared" si="1"/>
        <v>2070.9</v>
      </c>
      <c r="G98" t="str">
        <f>IF(표1[[#This Row],[diff]]&gt;0,"import","export")</f>
        <v>import</v>
      </c>
    </row>
    <row r="99" spans="1:7" x14ac:dyDescent="0.3">
      <c r="A99" s="6">
        <v>2017</v>
      </c>
      <c r="B99" s="6">
        <v>2922150000</v>
      </c>
      <c r="C99" s="6" t="s">
        <v>302</v>
      </c>
      <c r="D99" s="7">
        <v>1110</v>
      </c>
      <c r="E99" s="7">
        <v>7909.9</v>
      </c>
      <c r="F99" s="8">
        <f t="shared" si="1"/>
        <v>6799.9</v>
      </c>
      <c r="G99" t="str">
        <f>IF(표1[[#This Row],[diff]]&gt;0,"import","export")</f>
        <v>import</v>
      </c>
    </row>
    <row r="100" spans="1:7" x14ac:dyDescent="0.3">
      <c r="A100" s="6">
        <v>2017</v>
      </c>
      <c r="B100" s="6">
        <v>2926100000</v>
      </c>
      <c r="C100" s="6" t="s">
        <v>303</v>
      </c>
      <c r="D100" s="7">
        <v>270592.40000000002</v>
      </c>
      <c r="E100" s="7">
        <v>150867.5</v>
      </c>
      <c r="F100" s="8">
        <f t="shared" si="1"/>
        <v>-119724.90000000002</v>
      </c>
      <c r="G100" t="str">
        <f>IF(표1[[#This Row],[diff]]&gt;0,"import","export")</f>
        <v>export</v>
      </c>
    </row>
    <row r="101" spans="1:7" x14ac:dyDescent="0.3">
      <c r="A101" s="6">
        <v>2017</v>
      </c>
      <c r="B101" s="6">
        <v>2929101000</v>
      </c>
      <c r="C101" s="6" t="s">
        <v>304</v>
      </c>
      <c r="D101" s="7">
        <v>297926.8</v>
      </c>
      <c r="E101" s="6">
        <v>534.20000000000005</v>
      </c>
      <c r="F101" s="8">
        <f t="shared" si="1"/>
        <v>-297392.59999999998</v>
      </c>
      <c r="G101" t="str">
        <f>IF(표1[[#This Row],[diff]]&gt;0,"import","export")</f>
        <v>export</v>
      </c>
    </row>
    <row r="102" spans="1:7" x14ac:dyDescent="0.3">
      <c r="A102" s="6">
        <v>2017</v>
      </c>
      <c r="B102" s="6">
        <v>2929102000</v>
      </c>
      <c r="C102" s="6" t="s">
        <v>305</v>
      </c>
      <c r="D102" s="7">
        <v>59042.2</v>
      </c>
      <c r="E102" s="7">
        <v>1679.4</v>
      </c>
      <c r="F102" s="8">
        <f t="shared" si="1"/>
        <v>-57362.799999999996</v>
      </c>
      <c r="G102" t="str">
        <f>IF(표1[[#This Row],[diff]]&gt;0,"import","export")</f>
        <v>export</v>
      </c>
    </row>
    <row r="103" spans="1:7" x14ac:dyDescent="0.3">
      <c r="A103" s="6">
        <v>2017</v>
      </c>
      <c r="B103" s="6">
        <v>2933710000</v>
      </c>
      <c r="C103" s="6" t="s">
        <v>306</v>
      </c>
      <c r="D103" s="7">
        <v>51781.1</v>
      </c>
      <c r="E103" s="7">
        <v>26417.5</v>
      </c>
      <c r="F103" s="8">
        <f t="shared" si="1"/>
        <v>-25363.599999999999</v>
      </c>
      <c r="G103" t="str">
        <f>IF(표1[[#This Row],[diff]]&gt;0,"import","export")</f>
        <v>export</v>
      </c>
    </row>
    <row r="104" spans="1:7" x14ac:dyDescent="0.3">
      <c r="A104" s="6">
        <v>2017</v>
      </c>
      <c r="B104" s="6">
        <v>3901101000</v>
      </c>
      <c r="C104" s="6" t="s">
        <v>307</v>
      </c>
      <c r="D104" s="7">
        <v>505708.2</v>
      </c>
      <c r="E104" s="7">
        <v>23654.799999999999</v>
      </c>
      <c r="F104" s="8">
        <f t="shared" si="1"/>
        <v>-482053.4</v>
      </c>
      <c r="G104" t="str">
        <f>IF(표1[[#This Row],[diff]]&gt;0,"import","export")</f>
        <v>export</v>
      </c>
    </row>
    <row r="105" spans="1:7" x14ac:dyDescent="0.3">
      <c r="A105" s="6">
        <v>2017</v>
      </c>
      <c r="B105" s="6">
        <v>3902100000</v>
      </c>
      <c r="C105" s="6" t="s">
        <v>308</v>
      </c>
      <c r="D105" s="7">
        <v>1639691.7</v>
      </c>
      <c r="E105" s="7">
        <v>18168.099999999999</v>
      </c>
      <c r="F105" s="8">
        <f t="shared" si="1"/>
        <v>-1621523.5999999999</v>
      </c>
      <c r="G105" t="str">
        <f>IF(표1[[#This Row],[diff]]&gt;0,"import","export")</f>
        <v>export</v>
      </c>
    </row>
    <row r="106" spans="1:7" x14ac:dyDescent="0.3">
      <c r="A106" s="6">
        <v>2017</v>
      </c>
      <c r="B106" s="6">
        <v>3902200000</v>
      </c>
      <c r="C106" s="6" t="s">
        <v>309</v>
      </c>
      <c r="D106" s="7">
        <v>172267.2</v>
      </c>
      <c r="E106" s="7">
        <v>1441.4</v>
      </c>
      <c r="F106" s="8">
        <f t="shared" si="1"/>
        <v>-170825.80000000002</v>
      </c>
      <c r="G106" t="str">
        <f>IF(표1[[#This Row],[diff]]&gt;0,"import","export")</f>
        <v>export</v>
      </c>
    </row>
    <row r="107" spans="1:7" x14ac:dyDescent="0.3">
      <c r="A107" s="6">
        <v>2017</v>
      </c>
      <c r="B107" s="6">
        <v>3903200000</v>
      </c>
      <c r="C107" s="6" t="s">
        <v>310</v>
      </c>
      <c r="D107" s="7">
        <v>132396.6</v>
      </c>
      <c r="E107" s="7">
        <v>7037.8</v>
      </c>
      <c r="F107" s="8">
        <f t="shared" si="1"/>
        <v>-125358.8</v>
      </c>
      <c r="G107" t="str">
        <f>IF(표1[[#This Row],[diff]]&gt;0,"import","export")</f>
        <v>export</v>
      </c>
    </row>
    <row r="108" spans="1:7" x14ac:dyDescent="0.3">
      <c r="A108" s="6">
        <v>2017</v>
      </c>
      <c r="B108" s="6">
        <v>3903300000</v>
      </c>
      <c r="C108" s="6" t="s">
        <v>311</v>
      </c>
      <c r="D108" s="7">
        <v>1389971.7</v>
      </c>
      <c r="E108" s="7">
        <v>11515.4</v>
      </c>
      <c r="F108" s="8">
        <f t="shared" si="1"/>
        <v>-1378456.3</v>
      </c>
      <c r="G108" t="str">
        <f>IF(표1[[#This Row],[diff]]&gt;0,"import","export")</f>
        <v>export</v>
      </c>
    </row>
    <row r="109" spans="1:7" x14ac:dyDescent="0.3">
      <c r="A109" s="6">
        <v>2017</v>
      </c>
      <c r="B109" s="6">
        <v>3903901000</v>
      </c>
      <c r="C109" s="6" t="s">
        <v>312</v>
      </c>
      <c r="D109" s="7">
        <v>268138.8</v>
      </c>
      <c r="E109" s="7">
        <v>6516.5</v>
      </c>
      <c r="F109" s="8">
        <f t="shared" si="1"/>
        <v>-261622.3</v>
      </c>
      <c r="G109" t="str">
        <f>IF(표1[[#This Row],[diff]]&gt;0,"import","export")</f>
        <v>export</v>
      </c>
    </row>
    <row r="110" spans="1:7" x14ac:dyDescent="0.3">
      <c r="A110" s="6">
        <v>2017</v>
      </c>
      <c r="B110" s="6">
        <v>3906100000</v>
      </c>
      <c r="C110" s="6" t="s">
        <v>313</v>
      </c>
      <c r="D110" s="7">
        <v>126387.5</v>
      </c>
      <c r="E110" s="7">
        <v>9786.4</v>
      </c>
      <c r="F110" s="8">
        <f t="shared" si="1"/>
        <v>-116601.1</v>
      </c>
      <c r="G110" t="str">
        <f>IF(표1[[#This Row],[diff]]&gt;0,"import","export")</f>
        <v>export</v>
      </c>
    </row>
    <row r="111" spans="1:7" x14ac:dyDescent="0.3">
      <c r="A111" s="6">
        <v>2017</v>
      </c>
      <c r="B111" s="6">
        <v>3907400000</v>
      </c>
      <c r="C111" s="6" t="s">
        <v>314</v>
      </c>
      <c r="D111" s="7">
        <v>592999.30000000005</v>
      </c>
      <c r="E111" s="7">
        <v>78143.199999999997</v>
      </c>
      <c r="F111" s="8">
        <f t="shared" si="1"/>
        <v>-514856.10000000003</v>
      </c>
      <c r="G111" t="str">
        <f>IF(표1[[#This Row],[diff]]&gt;0,"import","export")</f>
        <v>export</v>
      </c>
    </row>
    <row r="112" spans="1:7" x14ac:dyDescent="0.3">
      <c r="A112" s="6">
        <v>2017</v>
      </c>
      <c r="B112" s="6">
        <v>3909500000</v>
      </c>
      <c r="C112" s="6" t="s">
        <v>315</v>
      </c>
      <c r="D112" s="7">
        <v>85840.6</v>
      </c>
      <c r="E112" s="7">
        <v>24679.3</v>
      </c>
      <c r="F112" s="8">
        <f t="shared" si="1"/>
        <v>-61161.3</v>
      </c>
      <c r="G112" t="str">
        <f>IF(표1[[#This Row],[diff]]&gt;0,"import","export")</f>
        <v>export</v>
      </c>
    </row>
    <row r="113" spans="1:7" x14ac:dyDescent="0.3">
      <c r="A113" s="6">
        <v>2018</v>
      </c>
      <c r="B113" s="6">
        <v>2207200000</v>
      </c>
      <c r="C113" s="6" t="s">
        <v>331</v>
      </c>
      <c r="D113" s="6">
        <v>149.1</v>
      </c>
      <c r="E113" s="7">
        <v>209749.1</v>
      </c>
      <c r="F113" s="8">
        <f t="shared" si="1"/>
        <v>209600</v>
      </c>
      <c r="G113" t="str">
        <f>IF(표1[[#This Row],[diff]]&gt;0,"import","export")</f>
        <v>import</v>
      </c>
    </row>
    <row r="114" spans="1:7" x14ac:dyDescent="0.3">
      <c r="A114" s="6">
        <v>2018</v>
      </c>
      <c r="B114" s="6">
        <v>2901291000</v>
      </c>
      <c r="C114" s="6" t="s">
        <v>261</v>
      </c>
      <c r="D114" s="6">
        <v>90.5</v>
      </c>
      <c r="E114" s="7">
        <v>21331</v>
      </c>
      <c r="F114" s="8">
        <f t="shared" si="1"/>
        <v>21240.5</v>
      </c>
      <c r="G114" t="str">
        <f>IF(표1[[#This Row],[diff]]&gt;0,"import","export")</f>
        <v>import</v>
      </c>
    </row>
    <row r="115" spans="1:7" x14ac:dyDescent="0.3">
      <c r="A115" s="6">
        <v>2018</v>
      </c>
      <c r="B115" s="6">
        <v>2901292000</v>
      </c>
      <c r="C115" s="6" t="s">
        <v>262</v>
      </c>
      <c r="D115" s="6">
        <v>0</v>
      </c>
      <c r="E115" s="7">
        <v>64239.1</v>
      </c>
      <c r="F115" s="8">
        <f t="shared" si="1"/>
        <v>64239.1</v>
      </c>
      <c r="G115" t="str">
        <f>IF(표1[[#This Row],[diff]]&gt;0,"import","export")</f>
        <v>import</v>
      </c>
    </row>
    <row r="116" spans="1:7" x14ac:dyDescent="0.3">
      <c r="A116" s="6">
        <v>2018</v>
      </c>
      <c r="B116" s="6">
        <v>2902110000</v>
      </c>
      <c r="C116" s="6" t="s">
        <v>263</v>
      </c>
      <c r="D116" s="7">
        <v>4657.1000000000004</v>
      </c>
      <c r="E116" s="7">
        <v>72900.5</v>
      </c>
      <c r="F116" s="8">
        <f t="shared" si="1"/>
        <v>68243.399999999994</v>
      </c>
      <c r="G116" t="str">
        <f>IF(표1[[#This Row],[diff]]&gt;0,"import","export")</f>
        <v>import</v>
      </c>
    </row>
    <row r="117" spans="1:7" x14ac:dyDescent="0.3">
      <c r="A117" s="6">
        <v>2018</v>
      </c>
      <c r="B117" s="6">
        <v>2902200000</v>
      </c>
      <c r="C117" s="6" t="s">
        <v>264</v>
      </c>
      <c r="D117" s="7">
        <v>2569531.7999999998</v>
      </c>
      <c r="E117" s="7">
        <v>41601.9</v>
      </c>
      <c r="F117" s="8">
        <f t="shared" si="1"/>
        <v>-2527929.9</v>
      </c>
      <c r="G117" t="str">
        <f>IF(표1[[#This Row],[diff]]&gt;0,"import","export")</f>
        <v>export</v>
      </c>
    </row>
    <row r="118" spans="1:7" x14ac:dyDescent="0.3">
      <c r="A118" s="6">
        <v>2018</v>
      </c>
      <c r="B118" s="6">
        <v>2902300000</v>
      </c>
      <c r="C118" s="6" t="s">
        <v>265</v>
      </c>
      <c r="D118" s="7">
        <v>354357.1</v>
      </c>
      <c r="E118" s="7">
        <v>812442.6</v>
      </c>
      <c r="F118" s="8">
        <f t="shared" si="1"/>
        <v>458085.5</v>
      </c>
      <c r="G118" t="str">
        <f>IF(표1[[#This Row],[diff]]&gt;0,"import","export")</f>
        <v>import</v>
      </c>
    </row>
    <row r="119" spans="1:7" x14ac:dyDescent="0.3">
      <c r="A119" s="6">
        <v>2018</v>
      </c>
      <c r="B119" s="6">
        <v>2902410000</v>
      </c>
      <c r="C119" s="6" t="s">
        <v>266</v>
      </c>
      <c r="D119" s="7">
        <v>17326.400000000001</v>
      </c>
      <c r="E119" s="7">
        <v>10340.700000000001</v>
      </c>
      <c r="F119" s="8">
        <f t="shared" si="1"/>
        <v>-6985.7000000000007</v>
      </c>
      <c r="G119" t="str">
        <f>IF(표1[[#This Row],[diff]]&gt;0,"import","export")</f>
        <v>export</v>
      </c>
    </row>
    <row r="120" spans="1:7" x14ac:dyDescent="0.3">
      <c r="A120" s="6">
        <v>2018</v>
      </c>
      <c r="B120" s="6">
        <v>2902420000</v>
      </c>
      <c r="C120" s="6" t="s">
        <v>267</v>
      </c>
      <c r="D120" s="6">
        <v>0.2</v>
      </c>
      <c r="E120" s="7">
        <v>80009.8</v>
      </c>
      <c r="F120" s="8">
        <f t="shared" si="1"/>
        <v>80009.600000000006</v>
      </c>
      <c r="G120" t="str">
        <f>IF(표1[[#This Row],[diff]]&gt;0,"import","export")</f>
        <v>import</v>
      </c>
    </row>
    <row r="121" spans="1:7" x14ac:dyDescent="0.3">
      <c r="A121" s="6">
        <v>2018</v>
      </c>
      <c r="B121" s="6">
        <v>2902430000</v>
      </c>
      <c r="C121" s="6" t="s">
        <v>268</v>
      </c>
      <c r="D121" s="7">
        <v>7383514.7000000002</v>
      </c>
      <c r="E121" s="7">
        <v>24511.599999999999</v>
      </c>
      <c r="F121" s="8">
        <f t="shared" si="1"/>
        <v>-7359003.1000000006</v>
      </c>
      <c r="G121" t="str">
        <f>IF(표1[[#This Row],[diff]]&gt;0,"import","export")</f>
        <v>export</v>
      </c>
    </row>
    <row r="122" spans="1:7" x14ac:dyDescent="0.3">
      <c r="A122" s="6">
        <v>2018</v>
      </c>
      <c r="B122" s="6">
        <v>2902500000</v>
      </c>
      <c r="C122" s="6" t="s">
        <v>269</v>
      </c>
      <c r="D122" s="7">
        <v>841001.5</v>
      </c>
      <c r="E122" s="7">
        <v>305442.2</v>
      </c>
      <c r="F122" s="8">
        <f t="shared" si="1"/>
        <v>-535559.30000000005</v>
      </c>
      <c r="G122" t="str">
        <f>IF(표1[[#This Row],[diff]]&gt;0,"import","export")</f>
        <v>export</v>
      </c>
    </row>
    <row r="123" spans="1:7" x14ac:dyDescent="0.3">
      <c r="A123" s="6">
        <v>2018</v>
      </c>
      <c r="B123" s="6">
        <v>2902600000</v>
      </c>
      <c r="C123" s="6" t="s">
        <v>270</v>
      </c>
      <c r="D123" s="6">
        <v>71</v>
      </c>
      <c r="E123" s="6">
        <v>1.4</v>
      </c>
      <c r="F123" s="8">
        <f t="shared" si="1"/>
        <v>-69.599999999999994</v>
      </c>
      <c r="G123" t="str">
        <f>IF(표1[[#This Row],[diff]]&gt;0,"import","export")</f>
        <v>export</v>
      </c>
    </row>
    <row r="124" spans="1:7" x14ac:dyDescent="0.3">
      <c r="A124" s="6">
        <v>2018</v>
      </c>
      <c r="B124" s="6">
        <v>2902700000</v>
      </c>
      <c r="C124" s="6" t="s">
        <v>271</v>
      </c>
      <c r="D124" s="7">
        <v>11081.2</v>
      </c>
      <c r="E124" s="7">
        <v>26961.8</v>
      </c>
      <c r="F124" s="8">
        <f t="shared" si="1"/>
        <v>15880.599999999999</v>
      </c>
      <c r="G124" t="str">
        <f>IF(표1[[#This Row],[diff]]&gt;0,"import","export")</f>
        <v>import</v>
      </c>
    </row>
    <row r="125" spans="1:7" x14ac:dyDescent="0.3">
      <c r="A125" s="6">
        <v>2018</v>
      </c>
      <c r="B125" s="6">
        <v>2903150000</v>
      </c>
      <c r="C125" s="6" t="s">
        <v>272</v>
      </c>
      <c r="D125" s="7">
        <v>263442</v>
      </c>
      <c r="E125" s="7">
        <v>181851.4</v>
      </c>
      <c r="F125" s="8">
        <f t="shared" si="1"/>
        <v>-81590.600000000006</v>
      </c>
      <c r="G125" t="str">
        <f>IF(표1[[#This Row],[diff]]&gt;0,"import","export")</f>
        <v>export</v>
      </c>
    </row>
    <row r="126" spans="1:7" x14ac:dyDescent="0.3">
      <c r="A126" s="6">
        <v>2018</v>
      </c>
      <c r="B126" s="6">
        <v>2903210000</v>
      </c>
      <c r="C126" s="6" t="s">
        <v>273</v>
      </c>
      <c r="D126" s="7">
        <v>56309</v>
      </c>
      <c r="E126" s="7">
        <v>18793.400000000001</v>
      </c>
      <c r="F126" s="8">
        <f t="shared" si="1"/>
        <v>-37515.599999999999</v>
      </c>
      <c r="G126" t="str">
        <f>IF(표1[[#This Row],[diff]]&gt;0,"import","export")</f>
        <v>export</v>
      </c>
    </row>
    <row r="127" spans="1:7" x14ac:dyDescent="0.3">
      <c r="A127" s="6">
        <v>2018</v>
      </c>
      <c r="B127" s="6">
        <v>2905110000</v>
      </c>
      <c r="C127" s="6" t="s">
        <v>274</v>
      </c>
      <c r="D127" s="6">
        <v>802.4</v>
      </c>
      <c r="E127" s="7">
        <v>1893151.6</v>
      </c>
      <c r="F127" s="8">
        <f t="shared" si="1"/>
        <v>1892349.2000000002</v>
      </c>
      <c r="G127" t="str">
        <f>IF(표1[[#This Row],[diff]]&gt;0,"import","export")</f>
        <v>import</v>
      </c>
    </row>
    <row r="128" spans="1:7" x14ac:dyDescent="0.3">
      <c r="A128" s="6">
        <v>2018</v>
      </c>
      <c r="B128" s="6">
        <v>2905121000</v>
      </c>
      <c r="C128" s="6" t="s">
        <v>275</v>
      </c>
      <c r="D128" s="6">
        <v>4.8</v>
      </c>
      <c r="E128" s="7">
        <v>2055.3000000000002</v>
      </c>
      <c r="F128" s="8">
        <f t="shared" si="1"/>
        <v>2050.5</v>
      </c>
      <c r="G128" t="str">
        <f>IF(표1[[#This Row],[diff]]&gt;0,"import","export")</f>
        <v>import</v>
      </c>
    </row>
    <row r="129" spans="1:7" x14ac:dyDescent="0.3">
      <c r="A129" s="6">
        <v>2018</v>
      </c>
      <c r="B129" s="6">
        <v>2905130000</v>
      </c>
      <c r="C129" s="6" t="s">
        <v>276</v>
      </c>
      <c r="D129" s="6">
        <v>193.4</v>
      </c>
      <c r="E129" s="7">
        <v>77541.100000000006</v>
      </c>
      <c r="F129" s="8">
        <f t="shared" si="1"/>
        <v>77347.700000000012</v>
      </c>
      <c r="G129" t="str">
        <f>IF(표1[[#This Row],[diff]]&gt;0,"import","export")</f>
        <v>import</v>
      </c>
    </row>
    <row r="130" spans="1:7" x14ac:dyDescent="0.3">
      <c r="A130" s="6">
        <v>2018</v>
      </c>
      <c r="B130" s="6">
        <v>2905161000</v>
      </c>
      <c r="C130" s="6" t="s">
        <v>277</v>
      </c>
      <c r="D130" s="7">
        <v>47456</v>
      </c>
      <c r="E130" s="7">
        <v>125779.9</v>
      </c>
      <c r="F130" s="8">
        <f t="shared" si="1"/>
        <v>78323.899999999994</v>
      </c>
      <c r="G130" t="str">
        <f>IF(표1[[#This Row],[diff]]&gt;0,"import","export")</f>
        <v>import</v>
      </c>
    </row>
    <row r="131" spans="1:7" x14ac:dyDescent="0.3">
      <c r="A131" s="6">
        <v>2018</v>
      </c>
      <c r="B131" s="6">
        <v>2905310000</v>
      </c>
      <c r="C131" s="6" t="s">
        <v>278</v>
      </c>
      <c r="D131" s="7">
        <v>504275.8</v>
      </c>
      <c r="E131" s="7">
        <v>237118.1</v>
      </c>
      <c r="F131" s="8">
        <f t="shared" ref="F131:F194" si="2">E131-D131</f>
        <v>-267157.69999999995</v>
      </c>
      <c r="G131" t="str">
        <f>IF(표1[[#This Row],[diff]]&gt;0,"import","export")</f>
        <v>export</v>
      </c>
    </row>
    <row r="132" spans="1:7" x14ac:dyDescent="0.3">
      <c r="A132" s="6">
        <v>2018</v>
      </c>
      <c r="B132" s="6">
        <v>2905320000</v>
      </c>
      <c r="C132" s="6" t="s">
        <v>279</v>
      </c>
      <c r="D132" s="7">
        <v>79931.199999999997</v>
      </c>
      <c r="E132" s="7">
        <v>14643.2</v>
      </c>
      <c r="F132" s="8">
        <f t="shared" si="2"/>
        <v>-65288</v>
      </c>
      <c r="G132" t="str">
        <f>IF(표1[[#This Row],[diff]]&gt;0,"import","export")</f>
        <v>export</v>
      </c>
    </row>
    <row r="133" spans="1:7" x14ac:dyDescent="0.3">
      <c r="A133" s="6">
        <v>2018</v>
      </c>
      <c r="B133" s="6">
        <v>2907111000</v>
      </c>
      <c r="C133" s="6" t="s">
        <v>280</v>
      </c>
      <c r="D133" s="7">
        <v>434660.2</v>
      </c>
      <c r="E133" s="7">
        <v>44984.6</v>
      </c>
      <c r="F133" s="8">
        <f t="shared" si="2"/>
        <v>-389675.60000000003</v>
      </c>
      <c r="G133" t="str">
        <f>IF(표1[[#This Row],[diff]]&gt;0,"import","export")</f>
        <v>export</v>
      </c>
    </row>
    <row r="134" spans="1:7" x14ac:dyDescent="0.3">
      <c r="A134" s="6">
        <v>2018</v>
      </c>
      <c r="B134" s="6">
        <v>2907231000</v>
      </c>
      <c r="C134" s="6" t="s">
        <v>281</v>
      </c>
      <c r="D134" s="7">
        <v>339250</v>
      </c>
      <c r="E134" s="7">
        <v>97355.4</v>
      </c>
      <c r="F134" s="8">
        <f t="shared" si="2"/>
        <v>-241894.6</v>
      </c>
      <c r="G134" t="str">
        <f>IF(표1[[#This Row],[diff]]&gt;0,"import","export")</f>
        <v>export</v>
      </c>
    </row>
    <row r="135" spans="1:7" x14ac:dyDescent="0.3">
      <c r="A135" s="6">
        <v>2018</v>
      </c>
      <c r="B135" s="6">
        <v>2909192000</v>
      </c>
      <c r="C135" s="6" t="s">
        <v>282</v>
      </c>
      <c r="D135" s="7">
        <v>38148.800000000003</v>
      </c>
      <c r="E135" s="7">
        <v>146525.5</v>
      </c>
      <c r="F135" s="8">
        <f t="shared" si="2"/>
        <v>108376.7</v>
      </c>
      <c r="G135" t="str">
        <f>IF(표1[[#This Row],[diff]]&gt;0,"import","export")</f>
        <v>import</v>
      </c>
    </row>
    <row r="136" spans="1:7" x14ac:dyDescent="0.3">
      <c r="A136" s="6">
        <v>2018</v>
      </c>
      <c r="B136" s="6">
        <v>2910100000</v>
      </c>
      <c r="C136" s="6" t="s">
        <v>283</v>
      </c>
      <c r="D136" s="6">
        <v>127.3</v>
      </c>
      <c r="E136" s="6">
        <v>60</v>
      </c>
      <c r="F136" s="8">
        <f t="shared" si="2"/>
        <v>-67.3</v>
      </c>
      <c r="G136" t="str">
        <f>IF(표1[[#This Row],[diff]]&gt;0,"import","export")</f>
        <v>export</v>
      </c>
    </row>
    <row r="137" spans="1:7" x14ac:dyDescent="0.3">
      <c r="A137" s="6">
        <v>2018</v>
      </c>
      <c r="B137" s="6">
        <v>2910200000</v>
      </c>
      <c r="C137" s="6" t="s">
        <v>284</v>
      </c>
      <c r="D137" s="7">
        <v>18820.099999999999</v>
      </c>
      <c r="E137" s="7">
        <v>102724.2</v>
      </c>
      <c r="F137" s="8">
        <f t="shared" si="2"/>
        <v>83904.1</v>
      </c>
      <c r="G137" t="str">
        <f>IF(표1[[#This Row],[diff]]&gt;0,"import","export")</f>
        <v>import</v>
      </c>
    </row>
    <row r="138" spans="1:7" x14ac:dyDescent="0.3">
      <c r="A138" s="6">
        <v>2018</v>
      </c>
      <c r="B138" s="6">
        <v>2912110000</v>
      </c>
      <c r="C138" s="6" t="s">
        <v>285</v>
      </c>
      <c r="D138" s="6">
        <v>123.7</v>
      </c>
      <c r="E138" s="6">
        <v>578.79999999999995</v>
      </c>
      <c r="F138" s="8">
        <f t="shared" si="2"/>
        <v>455.09999999999997</v>
      </c>
      <c r="G138" t="str">
        <f>IF(표1[[#This Row],[diff]]&gt;0,"import","export")</f>
        <v>import</v>
      </c>
    </row>
    <row r="139" spans="1:7" x14ac:dyDescent="0.3">
      <c r="A139" s="6">
        <v>2018</v>
      </c>
      <c r="B139" s="6">
        <v>2912120000</v>
      </c>
      <c r="C139" s="6" t="s">
        <v>286</v>
      </c>
      <c r="D139" s="6">
        <v>0</v>
      </c>
      <c r="E139" s="6">
        <v>13.6</v>
      </c>
      <c r="F139" s="8">
        <f t="shared" si="2"/>
        <v>13.6</v>
      </c>
      <c r="G139" t="str">
        <f>IF(표1[[#This Row],[diff]]&gt;0,"import","export")</f>
        <v>import</v>
      </c>
    </row>
    <row r="140" spans="1:7" x14ac:dyDescent="0.3">
      <c r="A140" s="6">
        <v>2018</v>
      </c>
      <c r="B140" s="6">
        <v>2912193000</v>
      </c>
      <c r="C140" s="6" t="s">
        <v>287</v>
      </c>
      <c r="D140" s="6">
        <v>0</v>
      </c>
      <c r="E140" s="6">
        <v>485.6</v>
      </c>
      <c r="F140" s="8">
        <f t="shared" si="2"/>
        <v>485.6</v>
      </c>
      <c r="G140" t="str">
        <f>IF(표1[[#This Row],[diff]]&gt;0,"import","export")</f>
        <v>import</v>
      </c>
    </row>
    <row r="141" spans="1:7" x14ac:dyDescent="0.3">
      <c r="A141" s="6">
        <v>2018</v>
      </c>
      <c r="B141" s="6">
        <v>2914110000</v>
      </c>
      <c r="C141" s="6" t="s">
        <v>288</v>
      </c>
      <c r="D141" s="7">
        <v>328381.40000000002</v>
      </c>
      <c r="E141" s="7">
        <v>17884.900000000001</v>
      </c>
      <c r="F141" s="8">
        <f t="shared" si="2"/>
        <v>-310496.5</v>
      </c>
      <c r="G141" t="str">
        <f>IF(표1[[#This Row],[diff]]&gt;0,"import","export")</f>
        <v>export</v>
      </c>
    </row>
    <row r="142" spans="1:7" x14ac:dyDescent="0.3">
      <c r="A142" s="6">
        <v>2018</v>
      </c>
      <c r="B142" s="6">
        <v>2914221000</v>
      </c>
      <c r="C142" s="6" t="s">
        <v>289</v>
      </c>
      <c r="D142" s="7">
        <v>1254.0999999999999</v>
      </c>
      <c r="E142" s="7">
        <v>6672.6</v>
      </c>
      <c r="F142" s="8">
        <f t="shared" si="2"/>
        <v>5418.5</v>
      </c>
      <c r="G142" t="str">
        <f>IF(표1[[#This Row],[diff]]&gt;0,"import","export")</f>
        <v>import</v>
      </c>
    </row>
    <row r="143" spans="1:7" x14ac:dyDescent="0.3">
      <c r="A143" s="6">
        <v>2018</v>
      </c>
      <c r="B143" s="6">
        <v>2915210000</v>
      </c>
      <c r="C143" s="6" t="s">
        <v>290</v>
      </c>
      <c r="D143" s="7">
        <v>147763.79999999999</v>
      </c>
      <c r="E143" s="7">
        <v>47188.4</v>
      </c>
      <c r="F143" s="8">
        <f t="shared" si="2"/>
        <v>-100575.4</v>
      </c>
      <c r="G143" t="str">
        <f>IF(표1[[#This Row],[diff]]&gt;0,"import","export")</f>
        <v>export</v>
      </c>
    </row>
    <row r="144" spans="1:7" x14ac:dyDescent="0.3">
      <c r="A144" s="6">
        <v>2018</v>
      </c>
      <c r="B144" s="6">
        <v>2915320000</v>
      </c>
      <c r="C144" s="6" t="s">
        <v>291</v>
      </c>
      <c r="D144" s="7">
        <v>5014.8</v>
      </c>
      <c r="E144" s="7">
        <v>67695.3</v>
      </c>
      <c r="F144" s="8">
        <f t="shared" si="2"/>
        <v>62680.5</v>
      </c>
      <c r="G144" t="str">
        <f>IF(표1[[#This Row],[diff]]&gt;0,"import","export")</f>
        <v>import</v>
      </c>
    </row>
    <row r="145" spans="1:7" x14ac:dyDescent="0.3">
      <c r="A145" s="6">
        <v>2018</v>
      </c>
      <c r="B145" s="6">
        <v>2916111000</v>
      </c>
      <c r="C145" s="6" t="s">
        <v>292</v>
      </c>
      <c r="D145" s="7">
        <v>17761.099999999999</v>
      </c>
      <c r="E145" s="7">
        <v>37564</v>
      </c>
      <c r="F145" s="8">
        <f t="shared" si="2"/>
        <v>19802.900000000001</v>
      </c>
      <c r="G145" t="str">
        <f>IF(표1[[#This Row],[diff]]&gt;0,"import","export")</f>
        <v>import</v>
      </c>
    </row>
    <row r="146" spans="1:7" x14ac:dyDescent="0.3">
      <c r="A146" s="6">
        <v>2018</v>
      </c>
      <c r="B146" s="6">
        <v>2916121000</v>
      </c>
      <c r="C146" s="6" t="s">
        <v>293</v>
      </c>
      <c r="D146" s="7">
        <v>20711.900000000001</v>
      </c>
      <c r="E146" s="7">
        <v>10772.7</v>
      </c>
      <c r="F146" s="8">
        <f t="shared" si="2"/>
        <v>-9939.2000000000007</v>
      </c>
      <c r="G146" t="str">
        <f>IF(표1[[#This Row],[diff]]&gt;0,"import","export")</f>
        <v>export</v>
      </c>
    </row>
    <row r="147" spans="1:7" x14ac:dyDescent="0.3">
      <c r="A147" s="6">
        <v>2018</v>
      </c>
      <c r="B147" s="6">
        <v>2916141000</v>
      </c>
      <c r="C147" s="6" t="s">
        <v>294</v>
      </c>
      <c r="D147" s="7">
        <v>24047.5</v>
      </c>
      <c r="E147" s="7">
        <v>79466.600000000006</v>
      </c>
      <c r="F147" s="8">
        <f t="shared" si="2"/>
        <v>55419.100000000006</v>
      </c>
      <c r="G147" t="str">
        <f>IF(표1[[#This Row],[diff]]&gt;0,"import","export")</f>
        <v>import</v>
      </c>
    </row>
    <row r="148" spans="1:7" x14ac:dyDescent="0.3">
      <c r="A148" s="6">
        <v>2018</v>
      </c>
      <c r="B148" s="6">
        <v>2917140000</v>
      </c>
      <c r="C148" s="6" t="s">
        <v>295</v>
      </c>
      <c r="D148" s="7">
        <v>40921.199999999997</v>
      </c>
      <c r="E148" s="7">
        <v>1536.3</v>
      </c>
      <c r="F148" s="8">
        <f t="shared" si="2"/>
        <v>-39384.899999999994</v>
      </c>
      <c r="G148" t="str">
        <f>IF(표1[[#This Row],[diff]]&gt;0,"import","export")</f>
        <v>export</v>
      </c>
    </row>
    <row r="149" spans="1:7" x14ac:dyDescent="0.3">
      <c r="A149" s="6">
        <v>2018</v>
      </c>
      <c r="B149" s="6">
        <v>2917350000</v>
      </c>
      <c r="C149" s="6" t="s">
        <v>296</v>
      </c>
      <c r="D149" s="7">
        <v>177915.4</v>
      </c>
      <c r="E149" s="6">
        <v>283.8</v>
      </c>
      <c r="F149" s="8">
        <f t="shared" si="2"/>
        <v>-177631.6</v>
      </c>
      <c r="G149" t="str">
        <f>IF(표1[[#This Row],[diff]]&gt;0,"import","export")</f>
        <v>export</v>
      </c>
    </row>
    <row r="150" spans="1:7" x14ac:dyDescent="0.3">
      <c r="A150" s="6">
        <v>2018</v>
      </c>
      <c r="B150" s="6">
        <v>2917361000</v>
      </c>
      <c r="C150" s="6" t="s">
        <v>297</v>
      </c>
      <c r="D150" s="7">
        <v>1745184.3</v>
      </c>
      <c r="E150" s="6">
        <v>0</v>
      </c>
      <c r="F150" s="8">
        <f t="shared" si="2"/>
        <v>-1745184.3</v>
      </c>
      <c r="G150" t="str">
        <f>IF(표1[[#This Row],[diff]]&gt;0,"import","export")</f>
        <v>export</v>
      </c>
    </row>
    <row r="151" spans="1:7" x14ac:dyDescent="0.3">
      <c r="A151" s="6">
        <v>2018</v>
      </c>
      <c r="B151" s="6">
        <v>2917370000</v>
      </c>
      <c r="C151" s="6" t="s">
        <v>298</v>
      </c>
      <c r="D151" s="7">
        <v>44276.9</v>
      </c>
      <c r="E151" s="6">
        <v>144.19999999999999</v>
      </c>
      <c r="F151" s="8">
        <f t="shared" si="2"/>
        <v>-44132.700000000004</v>
      </c>
      <c r="G151" t="str">
        <f>IF(표1[[#This Row],[diff]]&gt;0,"import","export")</f>
        <v>export</v>
      </c>
    </row>
    <row r="152" spans="1:7" x14ac:dyDescent="0.3">
      <c r="A152" s="6">
        <v>2018</v>
      </c>
      <c r="B152" s="6">
        <v>2921411000</v>
      </c>
      <c r="C152" s="6" t="s">
        <v>299</v>
      </c>
      <c r="D152" s="7">
        <v>4546.8999999999996</v>
      </c>
      <c r="E152" s="6">
        <v>125.3</v>
      </c>
      <c r="F152" s="8">
        <f t="shared" si="2"/>
        <v>-4421.5999999999995</v>
      </c>
      <c r="G152" t="str">
        <f>IF(표1[[#This Row],[diff]]&gt;0,"import","export")</f>
        <v>export</v>
      </c>
    </row>
    <row r="153" spans="1:7" x14ac:dyDescent="0.3">
      <c r="A153" s="6">
        <v>2018</v>
      </c>
      <c r="B153" s="6">
        <v>2922111000</v>
      </c>
      <c r="C153" s="6" t="s">
        <v>300</v>
      </c>
      <c r="D153" s="6">
        <v>106.3</v>
      </c>
      <c r="E153" s="7">
        <v>5274.3</v>
      </c>
      <c r="F153" s="8">
        <f t="shared" si="2"/>
        <v>5168</v>
      </c>
      <c r="G153" t="str">
        <f>IF(표1[[#This Row],[diff]]&gt;0,"import","export")</f>
        <v>import</v>
      </c>
    </row>
    <row r="154" spans="1:7" x14ac:dyDescent="0.3">
      <c r="A154" s="6">
        <v>2018</v>
      </c>
      <c r="B154" s="6">
        <v>2922121000</v>
      </c>
      <c r="C154" s="6" t="s">
        <v>301</v>
      </c>
      <c r="D154" s="6">
        <v>228.4</v>
      </c>
      <c r="E154" s="7">
        <v>2800.3</v>
      </c>
      <c r="F154" s="8">
        <f t="shared" si="2"/>
        <v>2571.9</v>
      </c>
      <c r="G154" t="str">
        <f>IF(표1[[#This Row],[diff]]&gt;0,"import","export")</f>
        <v>import</v>
      </c>
    </row>
    <row r="155" spans="1:7" x14ac:dyDescent="0.3">
      <c r="A155" s="6">
        <v>2018</v>
      </c>
      <c r="B155" s="6">
        <v>2922150000</v>
      </c>
      <c r="C155" s="6" t="s">
        <v>302</v>
      </c>
      <c r="D155" s="6">
        <v>913.1</v>
      </c>
      <c r="E155" s="7">
        <v>7557.1</v>
      </c>
      <c r="F155" s="8">
        <f t="shared" si="2"/>
        <v>6644</v>
      </c>
      <c r="G155" t="str">
        <f>IF(표1[[#This Row],[diff]]&gt;0,"import","export")</f>
        <v>import</v>
      </c>
    </row>
    <row r="156" spans="1:7" x14ac:dyDescent="0.3">
      <c r="A156" s="6">
        <v>2018</v>
      </c>
      <c r="B156" s="6">
        <v>2926100000</v>
      </c>
      <c r="C156" s="6" t="s">
        <v>303</v>
      </c>
      <c r="D156" s="7">
        <v>231476.4</v>
      </c>
      <c r="E156" s="7">
        <v>169131.8</v>
      </c>
      <c r="F156" s="8">
        <f t="shared" si="2"/>
        <v>-62344.600000000006</v>
      </c>
      <c r="G156" t="str">
        <f>IF(표1[[#This Row],[diff]]&gt;0,"import","export")</f>
        <v>export</v>
      </c>
    </row>
    <row r="157" spans="1:7" x14ac:dyDescent="0.3">
      <c r="A157" s="6">
        <v>2018</v>
      </c>
      <c r="B157" s="6">
        <v>2929101000</v>
      </c>
      <c r="C157" s="6" t="s">
        <v>304</v>
      </c>
      <c r="D157" s="7">
        <v>274601.3</v>
      </c>
      <c r="E157" s="7">
        <v>2525.6999999999998</v>
      </c>
      <c r="F157" s="8">
        <f t="shared" si="2"/>
        <v>-272075.59999999998</v>
      </c>
      <c r="G157" t="str">
        <f>IF(표1[[#This Row],[diff]]&gt;0,"import","export")</f>
        <v>export</v>
      </c>
    </row>
    <row r="158" spans="1:7" x14ac:dyDescent="0.3">
      <c r="A158" s="6">
        <v>2018</v>
      </c>
      <c r="B158" s="6">
        <v>2929102000</v>
      </c>
      <c r="C158" s="6" t="s">
        <v>305</v>
      </c>
      <c r="D158" s="7">
        <v>84411</v>
      </c>
      <c r="E158" s="7">
        <v>2189.6</v>
      </c>
      <c r="F158" s="8">
        <f t="shared" si="2"/>
        <v>-82221.399999999994</v>
      </c>
      <c r="G158" t="str">
        <f>IF(표1[[#This Row],[diff]]&gt;0,"import","export")</f>
        <v>export</v>
      </c>
    </row>
    <row r="159" spans="1:7" x14ac:dyDescent="0.3">
      <c r="A159" s="6">
        <v>2018</v>
      </c>
      <c r="B159" s="6">
        <v>2933710000</v>
      </c>
      <c r="C159" s="6" t="s">
        <v>306</v>
      </c>
      <c r="D159" s="7">
        <v>38256</v>
      </c>
      <c r="E159" s="7">
        <v>16638.3</v>
      </c>
      <c r="F159" s="8">
        <f t="shared" si="2"/>
        <v>-21617.7</v>
      </c>
      <c r="G159" t="str">
        <f>IF(표1[[#This Row],[diff]]&gt;0,"import","export")</f>
        <v>export</v>
      </c>
    </row>
    <row r="160" spans="1:7" x14ac:dyDescent="0.3">
      <c r="A160" s="6">
        <v>2018</v>
      </c>
      <c r="B160" s="6">
        <v>3901101000</v>
      </c>
      <c r="C160" s="6" t="s">
        <v>307</v>
      </c>
      <c r="D160" s="7">
        <v>427497.4</v>
      </c>
      <c r="E160" s="7">
        <v>34465.599999999999</v>
      </c>
      <c r="F160" s="8">
        <f t="shared" si="2"/>
        <v>-393031.80000000005</v>
      </c>
      <c r="G160" t="str">
        <f>IF(표1[[#This Row],[diff]]&gt;0,"import","export")</f>
        <v>export</v>
      </c>
    </row>
    <row r="161" spans="1:7" x14ac:dyDescent="0.3">
      <c r="A161" s="6">
        <v>2018</v>
      </c>
      <c r="B161" s="6">
        <v>3902100000</v>
      </c>
      <c r="C161" s="6" t="s">
        <v>308</v>
      </c>
      <c r="D161" s="7">
        <v>1741083.4</v>
      </c>
      <c r="E161" s="7">
        <v>18147.099999999999</v>
      </c>
      <c r="F161" s="8">
        <f t="shared" si="2"/>
        <v>-1722936.2999999998</v>
      </c>
      <c r="G161" t="str">
        <f>IF(표1[[#This Row],[diff]]&gt;0,"import","export")</f>
        <v>export</v>
      </c>
    </row>
    <row r="162" spans="1:7" x14ac:dyDescent="0.3">
      <c r="A162" s="6">
        <v>2018</v>
      </c>
      <c r="B162" s="6">
        <v>3902200000</v>
      </c>
      <c r="C162" s="6" t="s">
        <v>309</v>
      </c>
      <c r="D162" s="7">
        <v>188657.7</v>
      </c>
      <c r="E162" s="7">
        <v>1850.3</v>
      </c>
      <c r="F162" s="8">
        <f t="shared" si="2"/>
        <v>-186807.40000000002</v>
      </c>
      <c r="G162" t="str">
        <f>IF(표1[[#This Row],[diff]]&gt;0,"import","export")</f>
        <v>export</v>
      </c>
    </row>
    <row r="163" spans="1:7" x14ac:dyDescent="0.3">
      <c r="A163" s="6">
        <v>2018</v>
      </c>
      <c r="B163" s="6">
        <v>3903200000</v>
      </c>
      <c r="C163" s="6" t="s">
        <v>310</v>
      </c>
      <c r="D163" s="7">
        <v>157492.4</v>
      </c>
      <c r="E163" s="7">
        <v>6094.3</v>
      </c>
      <c r="F163" s="8">
        <f t="shared" si="2"/>
        <v>-151398.1</v>
      </c>
      <c r="G163" t="str">
        <f>IF(표1[[#This Row],[diff]]&gt;0,"import","export")</f>
        <v>export</v>
      </c>
    </row>
    <row r="164" spans="1:7" x14ac:dyDescent="0.3">
      <c r="A164" s="6">
        <v>2018</v>
      </c>
      <c r="B164" s="6">
        <v>3903300000</v>
      </c>
      <c r="C164" s="6" t="s">
        <v>311</v>
      </c>
      <c r="D164" s="7">
        <v>1381869.7</v>
      </c>
      <c r="E164" s="7">
        <v>9205.2999999999993</v>
      </c>
      <c r="F164" s="8">
        <f t="shared" si="2"/>
        <v>-1372664.4</v>
      </c>
      <c r="G164" t="str">
        <f>IF(표1[[#This Row],[diff]]&gt;0,"import","export")</f>
        <v>export</v>
      </c>
    </row>
    <row r="165" spans="1:7" x14ac:dyDescent="0.3">
      <c r="A165" s="6">
        <v>2018</v>
      </c>
      <c r="B165" s="6">
        <v>3903901000</v>
      </c>
      <c r="C165" s="6" t="s">
        <v>312</v>
      </c>
      <c r="D165" s="7">
        <v>276409.7</v>
      </c>
      <c r="E165" s="7">
        <v>6809.2</v>
      </c>
      <c r="F165" s="8">
        <f t="shared" si="2"/>
        <v>-269600.5</v>
      </c>
      <c r="G165" t="str">
        <f>IF(표1[[#This Row],[diff]]&gt;0,"import","export")</f>
        <v>export</v>
      </c>
    </row>
    <row r="166" spans="1:7" x14ac:dyDescent="0.3">
      <c r="A166" s="6">
        <v>2018</v>
      </c>
      <c r="B166" s="6">
        <v>3906100000</v>
      </c>
      <c r="C166" s="6" t="s">
        <v>313</v>
      </c>
      <c r="D166" s="7">
        <v>114193.5</v>
      </c>
      <c r="E166" s="7">
        <v>8827.6</v>
      </c>
      <c r="F166" s="8">
        <f t="shared" si="2"/>
        <v>-105365.9</v>
      </c>
      <c r="G166" t="str">
        <f>IF(표1[[#This Row],[diff]]&gt;0,"import","export")</f>
        <v>export</v>
      </c>
    </row>
    <row r="167" spans="1:7" x14ac:dyDescent="0.3">
      <c r="A167" s="6">
        <v>2018</v>
      </c>
      <c r="B167" s="6">
        <v>3907400000</v>
      </c>
      <c r="C167" s="6" t="s">
        <v>314</v>
      </c>
      <c r="D167" s="7">
        <v>597388.9</v>
      </c>
      <c r="E167" s="7">
        <v>86752.1</v>
      </c>
      <c r="F167" s="8">
        <f t="shared" si="2"/>
        <v>-510636.80000000005</v>
      </c>
      <c r="G167" t="str">
        <f>IF(표1[[#This Row],[diff]]&gt;0,"import","export")</f>
        <v>export</v>
      </c>
    </row>
    <row r="168" spans="1:7" x14ac:dyDescent="0.3">
      <c r="A168" s="6">
        <v>2018</v>
      </c>
      <c r="B168" s="6">
        <v>3909500000</v>
      </c>
      <c r="C168" s="6" t="s">
        <v>315</v>
      </c>
      <c r="D168" s="7">
        <v>86348.9</v>
      </c>
      <c r="E168" s="7">
        <v>25314.2</v>
      </c>
      <c r="F168" s="8">
        <f t="shared" si="2"/>
        <v>-61034.7</v>
      </c>
      <c r="G168" t="str">
        <f>IF(표1[[#This Row],[diff]]&gt;0,"import","export")</f>
        <v>export</v>
      </c>
    </row>
    <row r="169" spans="1:7" x14ac:dyDescent="0.3">
      <c r="A169" s="6">
        <v>2019</v>
      </c>
      <c r="B169" s="6">
        <v>2207200000</v>
      </c>
      <c r="C169" s="6" t="s">
        <v>331</v>
      </c>
      <c r="D169" s="6">
        <v>222.5</v>
      </c>
      <c r="E169" s="7">
        <v>218912.7</v>
      </c>
      <c r="F169" s="8">
        <f t="shared" si="2"/>
        <v>218690.2</v>
      </c>
      <c r="G169" t="str">
        <f>IF(표1[[#This Row],[diff]]&gt;0,"import","export")</f>
        <v>import</v>
      </c>
    </row>
    <row r="170" spans="1:7" x14ac:dyDescent="0.3">
      <c r="A170" s="6">
        <v>2019</v>
      </c>
      <c r="B170" s="6">
        <v>2901291000</v>
      </c>
      <c r="C170" s="6" t="s">
        <v>261</v>
      </c>
      <c r="D170" s="6">
        <v>357.4</v>
      </c>
      <c r="E170" s="7">
        <v>25235</v>
      </c>
      <c r="F170" s="8">
        <f t="shared" si="2"/>
        <v>24877.599999999999</v>
      </c>
      <c r="G170" t="str">
        <f>IF(표1[[#This Row],[diff]]&gt;0,"import","export")</f>
        <v>import</v>
      </c>
    </row>
    <row r="171" spans="1:7" x14ac:dyDescent="0.3">
      <c r="A171" s="6">
        <v>2019</v>
      </c>
      <c r="B171" s="6">
        <v>2901292000</v>
      </c>
      <c r="C171" s="6" t="s">
        <v>262</v>
      </c>
      <c r="D171" s="6">
        <v>24</v>
      </c>
      <c r="E171" s="7">
        <v>101336.8</v>
      </c>
      <c r="F171" s="8">
        <f t="shared" si="2"/>
        <v>101312.8</v>
      </c>
      <c r="G171" t="str">
        <f>IF(표1[[#This Row],[diff]]&gt;0,"import","export")</f>
        <v>import</v>
      </c>
    </row>
    <row r="172" spans="1:7" x14ac:dyDescent="0.3">
      <c r="A172" s="6">
        <v>2019</v>
      </c>
      <c r="B172" s="6">
        <v>2902110000</v>
      </c>
      <c r="C172" s="6" t="s">
        <v>263</v>
      </c>
      <c r="D172" s="7">
        <v>7849.4</v>
      </c>
      <c r="E172" s="7">
        <v>47886.6</v>
      </c>
      <c r="F172" s="8">
        <f t="shared" si="2"/>
        <v>40037.199999999997</v>
      </c>
      <c r="G172" t="str">
        <f>IF(표1[[#This Row],[diff]]&gt;0,"import","export")</f>
        <v>import</v>
      </c>
    </row>
    <row r="173" spans="1:7" x14ac:dyDescent="0.3">
      <c r="A173" s="6">
        <v>2019</v>
      </c>
      <c r="B173" s="6">
        <v>2902200000</v>
      </c>
      <c r="C173" s="6" t="s">
        <v>264</v>
      </c>
      <c r="D173" s="7">
        <v>2627360</v>
      </c>
      <c r="E173" s="7">
        <v>23452.9</v>
      </c>
      <c r="F173" s="8">
        <f t="shared" si="2"/>
        <v>-2603907.1</v>
      </c>
      <c r="G173" t="str">
        <f>IF(표1[[#This Row],[diff]]&gt;0,"import","export")</f>
        <v>export</v>
      </c>
    </row>
    <row r="174" spans="1:7" x14ac:dyDescent="0.3">
      <c r="A174" s="6">
        <v>2019</v>
      </c>
      <c r="B174" s="6">
        <v>2902300000</v>
      </c>
      <c r="C174" s="6" t="s">
        <v>265</v>
      </c>
      <c r="D174" s="7">
        <v>460275.4</v>
      </c>
      <c r="E174" s="7">
        <v>630015.4</v>
      </c>
      <c r="F174" s="8">
        <f t="shared" si="2"/>
        <v>169740</v>
      </c>
      <c r="G174" t="str">
        <f>IF(표1[[#This Row],[diff]]&gt;0,"import","export")</f>
        <v>import</v>
      </c>
    </row>
    <row r="175" spans="1:7" x14ac:dyDescent="0.3">
      <c r="A175" s="6">
        <v>2019</v>
      </c>
      <c r="B175" s="6">
        <v>2902410000</v>
      </c>
      <c r="C175" s="6" t="s">
        <v>266</v>
      </c>
      <c r="D175" s="7">
        <v>71036.800000000003</v>
      </c>
      <c r="E175" s="7">
        <v>5032.3</v>
      </c>
      <c r="F175" s="8">
        <f t="shared" si="2"/>
        <v>-66004.5</v>
      </c>
      <c r="G175" t="str">
        <f>IF(표1[[#This Row],[diff]]&gt;0,"import","export")</f>
        <v>export</v>
      </c>
    </row>
    <row r="176" spans="1:7" x14ac:dyDescent="0.3">
      <c r="A176" s="6">
        <v>2019</v>
      </c>
      <c r="B176" s="6">
        <v>2902420000</v>
      </c>
      <c r="C176" s="6" t="s">
        <v>267</v>
      </c>
      <c r="D176" s="7">
        <v>3781.3</v>
      </c>
      <c r="E176" s="7">
        <v>67839</v>
      </c>
      <c r="F176" s="8">
        <f t="shared" si="2"/>
        <v>64057.7</v>
      </c>
      <c r="G176" t="str">
        <f>IF(표1[[#This Row],[diff]]&gt;0,"import","export")</f>
        <v>import</v>
      </c>
    </row>
    <row r="177" spans="1:7" x14ac:dyDescent="0.3">
      <c r="A177" s="6">
        <v>2019</v>
      </c>
      <c r="B177" s="6">
        <v>2902430000</v>
      </c>
      <c r="C177" s="6" t="s">
        <v>268</v>
      </c>
      <c r="D177" s="7">
        <v>7032497.4000000004</v>
      </c>
      <c r="E177" s="7">
        <v>20001.7</v>
      </c>
      <c r="F177" s="8">
        <f t="shared" si="2"/>
        <v>-7012495.7000000002</v>
      </c>
      <c r="G177" t="str">
        <f>IF(표1[[#This Row],[diff]]&gt;0,"import","export")</f>
        <v>export</v>
      </c>
    </row>
    <row r="178" spans="1:7" x14ac:dyDescent="0.3">
      <c r="A178" s="6">
        <v>2019</v>
      </c>
      <c r="B178" s="6">
        <v>2902500000</v>
      </c>
      <c r="C178" s="6" t="s">
        <v>269</v>
      </c>
      <c r="D178" s="7">
        <v>669698.80000000005</v>
      </c>
      <c r="E178" s="7">
        <v>489455.8</v>
      </c>
      <c r="F178" s="8">
        <f t="shared" si="2"/>
        <v>-180243.00000000006</v>
      </c>
      <c r="G178" t="str">
        <f>IF(표1[[#This Row],[diff]]&gt;0,"import","export")</f>
        <v>export</v>
      </c>
    </row>
    <row r="179" spans="1:7" x14ac:dyDescent="0.3">
      <c r="A179" s="6">
        <v>2019</v>
      </c>
      <c r="B179" s="6">
        <v>2902600000</v>
      </c>
      <c r="C179" s="6" t="s">
        <v>270</v>
      </c>
      <c r="D179" s="6">
        <v>53.9</v>
      </c>
      <c r="E179" s="6">
        <v>0.9</v>
      </c>
      <c r="F179" s="8">
        <f t="shared" si="2"/>
        <v>-53</v>
      </c>
      <c r="G179" t="str">
        <f>IF(표1[[#This Row],[diff]]&gt;0,"import","export")</f>
        <v>export</v>
      </c>
    </row>
    <row r="180" spans="1:7" x14ac:dyDescent="0.3">
      <c r="A180" s="6">
        <v>2019</v>
      </c>
      <c r="B180" s="6">
        <v>2902700000</v>
      </c>
      <c r="C180" s="6" t="s">
        <v>271</v>
      </c>
      <c r="D180" s="7">
        <v>10093.299999999999</v>
      </c>
      <c r="E180" s="7">
        <v>16957.099999999999</v>
      </c>
      <c r="F180" s="8">
        <f t="shared" si="2"/>
        <v>6863.7999999999993</v>
      </c>
      <c r="G180" t="str">
        <f>IF(표1[[#This Row],[diff]]&gt;0,"import","export")</f>
        <v>import</v>
      </c>
    </row>
    <row r="181" spans="1:7" x14ac:dyDescent="0.3">
      <c r="A181" s="6">
        <v>2019</v>
      </c>
      <c r="B181" s="6">
        <v>2903150000</v>
      </c>
      <c r="C181" s="6" t="s">
        <v>272</v>
      </c>
      <c r="D181" s="7">
        <v>281004.09999999998</v>
      </c>
      <c r="E181" s="7">
        <v>159769.1</v>
      </c>
      <c r="F181" s="8">
        <f t="shared" si="2"/>
        <v>-121234.99999999997</v>
      </c>
      <c r="G181" t="str">
        <f>IF(표1[[#This Row],[diff]]&gt;0,"import","export")</f>
        <v>export</v>
      </c>
    </row>
    <row r="182" spans="1:7" x14ac:dyDescent="0.3">
      <c r="A182" s="6">
        <v>2019</v>
      </c>
      <c r="B182" s="6">
        <v>2903210000</v>
      </c>
      <c r="C182" s="6" t="s">
        <v>273</v>
      </c>
      <c r="D182" s="7">
        <v>212717.3</v>
      </c>
      <c r="E182" s="7">
        <v>36033.4</v>
      </c>
      <c r="F182" s="8">
        <f t="shared" si="2"/>
        <v>-176683.9</v>
      </c>
      <c r="G182" t="str">
        <f>IF(표1[[#This Row],[diff]]&gt;0,"import","export")</f>
        <v>export</v>
      </c>
    </row>
    <row r="183" spans="1:7" x14ac:dyDescent="0.3">
      <c r="A183" s="6">
        <v>2019</v>
      </c>
      <c r="B183" s="6">
        <v>2905110000</v>
      </c>
      <c r="C183" s="6" t="s">
        <v>274</v>
      </c>
      <c r="D183" s="7">
        <v>20276.099999999999</v>
      </c>
      <c r="E183" s="7">
        <v>1775385.9</v>
      </c>
      <c r="F183" s="8">
        <f t="shared" si="2"/>
        <v>1755109.7999999998</v>
      </c>
      <c r="G183" t="str">
        <f>IF(표1[[#This Row],[diff]]&gt;0,"import","export")</f>
        <v>import</v>
      </c>
    </row>
    <row r="184" spans="1:7" x14ac:dyDescent="0.3">
      <c r="A184" s="6">
        <v>2019</v>
      </c>
      <c r="B184" s="6">
        <v>2905121000</v>
      </c>
      <c r="C184" s="6" t="s">
        <v>275</v>
      </c>
      <c r="D184" s="6">
        <v>4.5999999999999996</v>
      </c>
      <c r="E184" s="7">
        <v>1587.3</v>
      </c>
      <c r="F184" s="8">
        <f t="shared" si="2"/>
        <v>1582.7</v>
      </c>
      <c r="G184" t="str">
        <f>IF(표1[[#This Row],[diff]]&gt;0,"import","export")</f>
        <v>import</v>
      </c>
    </row>
    <row r="185" spans="1:7" x14ac:dyDescent="0.3">
      <c r="A185" s="6">
        <v>2019</v>
      </c>
      <c r="B185" s="6">
        <v>2905130000</v>
      </c>
      <c r="C185" s="6" t="s">
        <v>276</v>
      </c>
      <c r="D185" s="6">
        <v>42</v>
      </c>
      <c r="E185" s="7">
        <v>67516.5</v>
      </c>
      <c r="F185" s="8">
        <f t="shared" si="2"/>
        <v>67474.5</v>
      </c>
      <c r="G185" t="str">
        <f>IF(표1[[#This Row],[diff]]&gt;0,"import","export")</f>
        <v>import</v>
      </c>
    </row>
    <row r="186" spans="1:7" x14ac:dyDescent="0.3">
      <c r="A186" s="6">
        <v>2019</v>
      </c>
      <c r="B186" s="6">
        <v>2905161000</v>
      </c>
      <c r="C186" s="6" t="s">
        <v>277</v>
      </c>
      <c r="D186" s="7">
        <v>49152.1</v>
      </c>
      <c r="E186" s="7">
        <v>79272.5</v>
      </c>
      <c r="F186" s="8">
        <f t="shared" si="2"/>
        <v>30120.400000000001</v>
      </c>
      <c r="G186" t="str">
        <f>IF(표1[[#This Row],[diff]]&gt;0,"import","export")</f>
        <v>import</v>
      </c>
    </row>
    <row r="187" spans="1:7" x14ac:dyDescent="0.3">
      <c r="A187" s="6">
        <v>2019</v>
      </c>
      <c r="B187" s="6">
        <v>2905310000</v>
      </c>
      <c r="C187" s="6" t="s">
        <v>278</v>
      </c>
      <c r="D187" s="7">
        <v>569929.30000000005</v>
      </c>
      <c r="E187" s="7">
        <v>334344.7</v>
      </c>
      <c r="F187" s="8">
        <f t="shared" si="2"/>
        <v>-235584.60000000003</v>
      </c>
      <c r="G187" t="str">
        <f>IF(표1[[#This Row],[diff]]&gt;0,"import","export")</f>
        <v>export</v>
      </c>
    </row>
    <row r="188" spans="1:7" x14ac:dyDescent="0.3">
      <c r="A188" s="6">
        <v>2019</v>
      </c>
      <c r="B188" s="6">
        <v>2905320000</v>
      </c>
      <c r="C188" s="6" t="s">
        <v>279</v>
      </c>
      <c r="D188" s="7">
        <v>108523.4</v>
      </c>
      <c r="E188" s="7">
        <v>15925.4</v>
      </c>
      <c r="F188" s="8">
        <f t="shared" si="2"/>
        <v>-92598</v>
      </c>
      <c r="G188" t="str">
        <f>IF(표1[[#This Row],[diff]]&gt;0,"import","export")</f>
        <v>export</v>
      </c>
    </row>
    <row r="189" spans="1:7" x14ac:dyDescent="0.3">
      <c r="A189" s="6">
        <v>2019</v>
      </c>
      <c r="B189" s="6">
        <v>2907111000</v>
      </c>
      <c r="C189" s="6" t="s">
        <v>280</v>
      </c>
      <c r="D189" s="7">
        <v>322960.90000000002</v>
      </c>
      <c r="E189" s="7">
        <v>61987.5</v>
      </c>
      <c r="F189" s="8">
        <f t="shared" si="2"/>
        <v>-260973.40000000002</v>
      </c>
      <c r="G189" t="str">
        <f>IF(표1[[#This Row],[diff]]&gt;0,"import","export")</f>
        <v>export</v>
      </c>
    </row>
    <row r="190" spans="1:7" x14ac:dyDescent="0.3">
      <c r="A190" s="6">
        <v>2019</v>
      </c>
      <c r="B190" s="6">
        <v>2907231000</v>
      </c>
      <c r="C190" s="6" t="s">
        <v>281</v>
      </c>
      <c r="D190" s="7">
        <v>354955.4</v>
      </c>
      <c r="E190" s="7">
        <v>119602.1</v>
      </c>
      <c r="F190" s="8">
        <f t="shared" si="2"/>
        <v>-235353.30000000002</v>
      </c>
      <c r="G190" t="str">
        <f>IF(표1[[#This Row],[diff]]&gt;0,"import","export")</f>
        <v>export</v>
      </c>
    </row>
    <row r="191" spans="1:7" x14ac:dyDescent="0.3">
      <c r="A191" s="6">
        <v>2019</v>
      </c>
      <c r="B191" s="6">
        <v>2909192000</v>
      </c>
      <c r="C191" s="6" t="s">
        <v>282</v>
      </c>
      <c r="D191" s="7">
        <v>49225.8</v>
      </c>
      <c r="E191" s="7">
        <v>138966.6</v>
      </c>
      <c r="F191" s="8">
        <f t="shared" si="2"/>
        <v>89740.800000000003</v>
      </c>
      <c r="G191" t="str">
        <f>IF(표1[[#This Row],[diff]]&gt;0,"import","export")</f>
        <v>import</v>
      </c>
    </row>
    <row r="192" spans="1:7" x14ac:dyDescent="0.3">
      <c r="A192" s="6">
        <v>2019</v>
      </c>
      <c r="B192" s="6">
        <v>2910100000</v>
      </c>
      <c r="C192" s="6" t="s">
        <v>283</v>
      </c>
      <c r="D192" s="6">
        <v>188.4</v>
      </c>
      <c r="E192" s="6">
        <v>59</v>
      </c>
      <c r="F192" s="8">
        <f t="shared" si="2"/>
        <v>-129.4</v>
      </c>
      <c r="G192" t="str">
        <f>IF(표1[[#This Row],[diff]]&gt;0,"import","export")</f>
        <v>export</v>
      </c>
    </row>
    <row r="193" spans="1:7" x14ac:dyDescent="0.3">
      <c r="A193" s="6">
        <v>2019</v>
      </c>
      <c r="B193" s="6">
        <v>2910200000</v>
      </c>
      <c r="C193" s="6" t="s">
        <v>284</v>
      </c>
      <c r="D193" s="7">
        <v>143666.20000000001</v>
      </c>
      <c r="E193" s="7">
        <v>71777.8</v>
      </c>
      <c r="F193" s="8">
        <f t="shared" si="2"/>
        <v>-71888.400000000009</v>
      </c>
      <c r="G193" t="str">
        <f>IF(표1[[#This Row],[diff]]&gt;0,"import","export")</f>
        <v>export</v>
      </c>
    </row>
    <row r="194" spans="1:7" x14ac:dyDescent="0.3">
      <c r="A194" s="6">
        <v>2019</v>
      </c>
      <c r="B194" s="6">
        <v>2912110000</v>
      </c>
      <c r="C194" s="6" t="s">
        <v>285</v>
      </c>
      <c r="D194" s="6">
        <v>156.30000000000001</v>
      </c>
      <c r="E194" s="6">
        <v>594.79999999999995</v>
      </c>
      <c r="F194" s="8">
        <f t="shared" si="2"/>
        <v>438.49999999999994</v>
      </c>
      <c r="G194" t="str">
        <f>IF(표1[[#This Row],[diff]]&gt;0,"import","export")</f>
        <v>import</v>
      </c>
    </row>
    <row r="195" spans="1:7" x14ac:dyDescent="0.3">
      <c r="A195" s="6">
        <v>2019</v>
      </c>
      <c r="B195" s="6">
        <v>2912120000</v>
      </c>
      <c r="C195" s="6" t="s">
        <v>286</v>
      </c>
      <c r="D195" s="6">
        <v>0</v>
      </c>
      <c r="E195" s="6">
        <v>33.4</v>
      </c>
      <c r="F195" s="8">
        <f t="shared" ref="F195:F258" si="3">E195-D195</f>
        <v>33.4</v>
      </c>
      <c r="G195" t="str">
        <f>IF(표1[[#This Row],[diff]]&gt;0,"import","export")</f>
        <v>import</v>
      </c>
    </row>
    <row r="196" spans="1:7" x14ac:dyDescent="0.3">
      <c r="A196" s="6">
        <v>2019</v>
      </c>
      <c r="B196" s="6">
        <v>2912193000</v>
      </c>
      <c r="C196" s="6" t="s">
        <v>287</v>
      </c>
      <c r="D196" s="6">
        <v>0</v>
      </c>
      <c r="E196" s="6">
        <v>564.9</v>
      </c>
      <c r="F196" s="8">
        <f t="shared" si="3"/>
        <v>564.9</v>
      </c>
      <c r="G196" t="str">
        <f>IF(표1[[#This Row],[diff]]&gt;0,"import","export")</f>
        <v>import</v>
      </c>
    </row>
    <row r="197" spans="1:7" x14ac:dyDescent="0.3">
      <c r="A197" s="6">
        <v>2019</v>
      </c>
      <c r="B197" s="6">
        <v>2914110000</v>
      </c>
      <c r="C197" s="6" t="s">
        <v>288</v>
      </c>
      <c r="D197" s="7">
        <v>219726.6</v>
      </c>
      <c r="E197" s="7">
        <v>20760.5</v>
      </c>
      <c r="F197" s="8">
        <f t="shared" si="3"/>
        <v>-198966.1</v>
      </c>
      <c r="G197" t="str">
        <f>IF(표1[[#This Row],[diff]]&gt;0,"import","export")</f>
        <v>export</v>
      </c>
    </row>
    <row r="198" spans="1:7" x14ac:dyDescent="0.3">
      <c r="A198" s="6">
        <v>2019</v>
      </c>
      <c r="B198" s="6">
        <v>2914221000</v>
      </c>
      <c r="C198" s="6" t="s">
        <v>289</v>
      </c>
      <c r="D198" s="7">
        <v>2402.9</v>
      </c>
      <c r="E198" s="7">
        <v>5039.3</v>
      </c>
      <c r="F198" s="8">
        <f t="shared" si="3"/>
        <v>2636.4</v>
      </c>
      <c r="G198" t="str">
        <f>IF(표1[[#This Row],[diff]]&gt;0,"import","export")</f>
        <v>import</v>
      </c>
    </row>
    <row r="199" spans="1:7" x14ac:dyDescent="0.3">
      <c r="A199" s="6">
        <v>2019</v>
      </c>
      <c r="B199" s="6">
        <v>2915210000</v>
      </c>
      <c r="C199" s="6" t="s">
        <v>290</v>
      </c>
      <c r="D199" s="7">
        <v>182214.3</v>
      </c>
      <c r="E199" s="7">
        <v>69406.600000000006</v>
      </c>
      <c r="F199" s="8">
        <f t="shared" si="3"/>
        <v>-112807.69999999998</v>
      </c>
      <c r="G199" t="str">
        <f>IF(표1[[#This Row],[diff]]&gt;0,"import","export")</f>
        <v>export</v>
      </c>
    </row>
    <row r="200" spans="1:7" x14ac:dyDescent="0.3">
      <c r="A200" s="6">
        <v>2019</v>
      </c>
      <c r="B200" s="6">
        <v>2915320000</v>
      </c>
      <c r="C200" s="6" t="s">
        <v>291</v>
      </c>
      <c r="D200" s="7">
        <v>10278.799999999999</v>
      </c>
      <c r="E200" s="7">
        <v>70882.2</v>
      </c>
      <c r="F200" s="8">
        <f t="shared" si="3"/>
        <v>60603.399999999994</v>
      </c>
      <c r="G200" t="str">
        <f>IF(표1[[#This Row],[diff]]&gt;0,"import","export")</f>
        <v>import</v>
      </c>
    </row>
    <row r="201" spans="1:7" x14ac:dyDescent="0.3">
      <c r="A201" s="6">
        <v>2019</v>
      </c>
      <c r="B201" s="6">
        <v>2916111000</v>
      </c>
      <c r="C201" s="6" t="s">
        <v>292</v>
      </c>
      <c r="D201" s="7">
        <v>22837.4</v>
      </c>
      <c r="E201" s="7">
        <v>47365.9</v>
      </c>
      <c r="F201" s="8">
        <f t="shared" si="3"/>
        <v>24528.5</v>
      </c>
      <c r="G201" t="str">
        <f>IF(표1[[#This Row],[diff]]&gt;0,"import","export")</f>
        <v>import</v>
      </c>
    </row>
    <row r="202" spans="1:7" x14ac:dyDescent="0.3">
      <c r="A202" s="6">
        <v>2019</v>
      </c>
      <c r="B202" s="6">
        <v>2916121000</v>
      </c>
      <c r="C202" s="6" t="s">
        <v>293</v>
      </c>
      <c r="D202" s="7">
        <v>16480.400000000001</v>
      </c>
      <c r="E202" s="7">
        <v>11288.8</v>
      </c>
      <c r="F202" s="8">
        <f t="shared" si="3"/>
        <v>-5191.6000000000022</v>
      </c>
      <c r="G202" t="str">
        <f>IF(표1[[#This Row],[diff]]&gt;0,"import","export")</f>
        <v>export</v>
      </c>
    </row>
    <row r="203" spans="1:7" x14ac:dyDescent="0.3">
      <c r="A203" s="6">
        <v>2019</v>
      </c>
      <c r="B203" s="6">
        <v>2916141000</v>
      </c>
      <c r="C203" s="6" t="s">
        <v>294</v>
      </c>
      <c r="D203" s="7">
        <v>36701.800000000003</v>
      </c>
      <c r="E203" s="7">
        <v>54633.8</v>
      </c>
      <c r="F203" s="8">
        <f t="shared" si="3"/>
        <v>17932</v>
      </c>
      <c r="G203" t="str">
        <f>IF(표1[[#This Row],[diff]]&gt;0,"import","export")</f>
        <v>import</v>
      </c>
    </row>
    <row r="204" spans="1:7" x14ac:dyDescent="0.3">
      <c r="A204" s="6">
        <v>2019</v>
      </c>
      <c r="B204" s="6">
        <v>2917140000</v>
      </c>
      <c r="C204" s="6" t="s">
        <v>295</v>
      </c>
      <c r="D204" s="7">
        <v>47904.2</v>
      </c>
      <c r="E204" s="7">
        <v>1620.1</v>
      </c>
      <c r="F204" s="8">
        <f t="shared" si="3"/>
        <v>-46284.1</v>
      </c>
      <c r="G204" t="str">
        <f>IF(표1[[#This Row],[diff]]&gt;0,"import","export")</f>
        <v>export</v>
      </c>
    </row>
    <row r="205" spans="1:7" x14ac:dyDescent="0.3">
      <c r="A205" s="6">
        <v>2019</v>
      </c>
      <c r="B205" s="6">
        <v>2917350000</v>
      </c>
      <c r="C205" s="6" t="s">
        <v>296</v>
      </c>
      <c r="D205" s="7">
        <v>184391.7</v>
      </c>
      <c r="E205" s="7">
        <v>1098.5</v>
      </c>
      <c r="F205" s="8">
        <f t="shared" si="3"/>
        <v>-183293.2</v>
      </c>
      <c r="G205" t="str">
        <f>IF(표1[[#This Row],[diff]]&gt;0,"import","export")</f>
        <v>export</v>
      </c>
    </row>
    <row r="206" spans="1:7" x14ac:dyDescent="0.3">
      <c r="A206" s="6">
        <v>2019</v>
      </c>
      <c r="B206" s="6">
        <v>2917361000</v>
      </c>
      <c r="C206" s="6" t="s">
        <v>297</v>
      </c>
      <c r="D206" s="7">
        <v>2030586.2</v>
      </c>
      <c r="E206" s="6">
        <v>86.6</v>
      </c>
      <c r="F206" s="8">
        <f t="shared" si="3"/>
        <v>-2030499.5999999999</v>
      </c>
      <c r="G206" t="str">
        <f>IF(표1[[#This Row],[diff]]&gt;0,"import","export")</f>
        <v>export</v>
      </c>
    </row>
    <row r="207" spans="1:7" x14ac:dyDescent="0.3">
      <c r="A207" s="6">
        <v>2019</v>
      </c>
      <c r="B207" s="6">
        <v>2917370000</v>
      </c>
      <c r="C207" s="6" t="s">
        <v>298</v>
      </c>
      <c r="D207" s="7">
        <v>40482.199999999997</v>
      </c>
      <c r="E207" s="6">
        <v>393.7</v>
      </c>
      <c r="F207" s="8">
        <f t="shared" si="3"/>
        <v>-40088.5</v>
      </c>
      <c r="G207" t="str">
        <f>IF(표1[[#This Row],[diff]]&gt;0,"import","export")</f>
        <v>export</v>
      </c>
    </row>
    <row r="208" spans="1:7" x14ac:dyDescent="0.3">
      <c r="A208" s="6">
        <v>2019</v>
      </c>
      <c r="B208" s="6">
        <v>2921411000</v>
      </c>
      <c r="C208" s="6" t="s">
        <v>299</v>
      </c>
      <c r="D208" s="7">
        <v>2090.5</v>
      </c>
      <c r="E208" s="6">
        <v>167.2</v>
      </c>
      <c r="F208" s="8">
        <f t="shared" si="3"/>
        <v>-1923.3</v>
      </c>
      <c r="G208" t="str">
        <f>IF(표1[[#This Row],[diff]]&gt;0,"import","export")</f>
        <v>export</v>
      </c>
    </row>
    <row r="209" spans="1:7" x14ac:dyDescent="0.3">
      <c r="A209" s="6">
        <v>2019</v>
      </c>
      <c r="B209" s="6">
        <v>2922111000</v>
      </c>
      <c r="C209" s="6" t="s">
        <v>300</v>
      </c>
      <c r="D209" s="6">
        <v>346.4</v>
      </c>
      <c r="E209" s="7">
        <v>6934.8</v>
      </c>
      <c r="F209" s="8">
        <f t="shared" si="3"/>
        <v>6588.4000000000005</v>
      </c>
      <c r="G209" t="str">
        <f>IF(표1[[#This Row],[diff]]&gt;0,"import","export")</f>
        <v>import</v>
      </c>
    </row>
    <row r="210" spans="1:7" x14ac:dyDescent="0.3">
      <c r="A210" s="6">
        <v>2019</v>
      </c>
      <c r="B210" s="6">
        <v>2922121000</v>
      </c>
      <c r="C210" s="6" t="s">
        <v>301</v>
      </c>
      <c r="D210" s="6">
        <v>331.9</v>
      </c>
      <c r="E210" s="7">
        <v>3476</v>
      </c>
      <c r="F210" s="8">
        <f t="shared" si="3"/>
        <v>3144.1</v>
      </c>
      <c r="G210" t="str">
        <f>IF(표1[[#This Row],[diff]]&gt;0,"import","export")</f>
        <v>import</v>
      </c>
    </row>
    <row r="211" spans="1:7" x14ac:dyDescent="0.3">
      <c r="A211" s="6">
        <v>2019</v>
      </c>
      <c r="B211" s="6">
        <v>2922150000</v>
      </c>
      <c r="C211" s="6" t="s">
        <v>302</v>
      </c>
      <c r="D211" s="6">
        <v>718.2</v>
      </c>
      <c r="E211" s="7">
        <v>9925.2000000000007</v>
      </c>
      <c r="F211" s="8">
        <f t="shared" si="3"/>
        <v>9207</v>
      </c>
      <c r="G211" t="str">
        <f>IF(표1[[#This Row],[diff]]&gt;0,"import","export")</f>
        <v>import</v>
      </c>
    </row>
    <row r="212" spans="1:7" x14ac:dyDescent="0.3">
      <c r="A212" s="6">
        <v>2019</v>
      </c>
      <c r="B212" s="6">
        <v>2926100000</v>
      </c>
      <c r="C212" s="6" t="s">
        <v>303</v>
      </c>
      <c r="D212" s="7">
        <v>248913.3</v>
      </c>
      <c r="E212" s="7">
        <v>165629</v>
      </c>
      <c r="F212" s="8">
        <f t="shared" si="3"/>
        <v>-83284.299999999988</v>
      </c>
      <c r="G212" t="str">
        <f>IF(표1[[#This Row],[diff]]&gt;0,"import","export")</f>
        <v>export</v>
      </c>
    </row>
    <row r="213" spans="1:7" x14ac:dyDescent="0.3">
      <c r="A213" s="6">
        <v>2019</v>
      </c>
      <c r="B213" s="6">
        <v>2929101000</v>
      </c>
      <c r="C213" s="6" t="s">
        <v>304</v>
      </c>
      <c r="D213" s="7">
        <v>252735</v>
      </c>
      <c r="E213" s="7">
        <v>7004.7</v>
      </c>
      <c r="F213" s="8">
        <f t="shared" si="3"/>
        <v>-245730.3</v>
      </c>
      <c r="G213" t="str">
        <f>IF(표1[[#This Row],[diff]]&gt;0,"import","export")</f>
        <v>export</v>
      </c>
    </row>
    <row r="214" spans="1:7" x14ac:dyDescent="0.3">
      <c r="A214" s="6">
        <v>2019</v>
      </c>
      <c r="B214" s="6">
        <v>2929102000</v>
      </c>
      <c r="C214" s="6" t="s">
        <v>305</v>
      </c>
      <c r="D214" s="7">
        <v>89539.199999999997</v>
      </c>
      <c r="E214" s="7">
        <v>2046</v>
      </c>
      <c r="F214" s="8">
        <f t="shared" si="3"/>
        <v>-87493.2</v>
      </c>
      <c r="G214" t="str">
        <f>IF(표1[[#This Row],[diff]]&gt;0,"import","export")</f>
        <v>export</v>
      </c>
    </row>
    <row r="215" spans="1:7" x14ac:dyDescent="0.3">
      <c r="A215" s="6">
        <v>2019</v>
      </c>
      <c r="B215" s="6">
        <v>2933710000</v>
      </c>
      <c r="C215" s="6" t="s">
        <v>306</v>
      </c>
      <c r="D215" s="7">
        <v>43735.4</v>
      </c>
      <c r="E215" s="7">
        <v>22217.8</v>
      </c>
      <c r="F215" s="8">
        <f t="shared" si="3"/>
        <v>-21517.600000000002</v>
      </c>
      <c r="G215" t="str">
        <f>IF(표1[[#This Row],[diff]]&gt;0,"import","export")</f>
        <v>export</v>
      </c>
    </row>
    <row r="216" spans="1:7" x14ac:dyDescent="0.3">
      <c r="A216" s="6">
        <v>2019</v>
      </c>
      <c r="B216" s="6">
        <v>3901101000</v>
      </c>
      <c r="C216" s="6" t="s">
        <v>307</v>
      </c>
      <c r="D216" s="7">
        <v>388323.2</v>
      </c>
      <c r="E216" s="7">
        <v>50033.9</v>
      </c>
      <c r="F216" s="8">
        <f t="shared" si="3"/>
        <v>-338289.3</v>
      </c>
      <c r="G216" t="str">
        <f>IF(표1[[#This Row],[diff]]&gt;0,"import","export")</f>
        <v>export</v>
      </c>
    </row>
    <row r="217" spans="1:7" x14ac:dyDescent="0.3">
      <c r="A217" s="6">
        <v>2019</v>
      </c>
      <c r="B217" s="6">
        <v>3902100000</v>
      </c>
      <c r="C217" s="6" t="s">
        <v>308</v>
      </c>
      <c r="D217" s="7">
        <v>1755997.7</v>
      </c>
      <c r="E217" s="7">
        <v>19182.8</v>
      </c>
      <c r="F217" s="8">
        <f t="shared" si="3"/>
        <v>-1736814.9</v>
      </c>
      <c r="G217" t="str">
        <f>IF(표1[[#This Row],[diff]]&gt;0,"import","export")</f>
        <v>export</v>
      </c>
    </row>
    <row r="218" spans="1:7" x14ac:dyDescent="0.3">
      <c r="A218" s="6">
        <v>2019</v>
      </c>
      <c r="B218" s="6">
        <v>3902200000</v>
      </c>
      <c r="C218" s="6" t="s">
        <v>309</v>
      </c>
      <c r="D218" s="7">
        <v>165124.20000000001</v>
      </c>
      <c r="E218" s="7">
        <v>1755.2</v>
      </c>
      <c r="F218" s="8">
        <f t="shared" si="3"/>
        <v>-163369</v>
      </c>
      <c r="G218" t="str">
        <f>IF(표1[[#This Row],[diff]]&gt;0,"import","export")</f>
        <v>export</v>
      </c>
    </row>
    <row r="219" spans="1:7" x14ac:dyDescent="0.3">
      <c r="A219" s="6">
        <v>2019</v>
      </c>
      <c r="B219" s="6">
        <v>3903200000</v>
      </c>
      <c r="C219" s="6" t="s">
        <v>310</v>
      </c>
      <c r="D219" s="7">
        <v>183018.4</v>
      </c>
      <c r="E219" s="7">
        <v>5550.8</v>
      </c>
      <c r="F219" s="8">
        <f t="shared" si="3"/>
        <v>-177467.6</v>
      </c>
      <c r="G219" t="str">
        <f>IF(표1[[#This Row],[diff]]&gt;0,"import","export")</f>
        <v>export</v>
      </c>
    </row>
    <row r="220" spans="1:7" x14ac:dyDescent="0.3">
      <c r="A220" s="6">
        <v>2019</v>
      </c>
      <c r="B220" s="6">
        <v>3903300000</v>
      </c>
      <c r="C220" s="6" t="s">
        <v>311</v>
      </c>
      <c r="D220" s="7">
        <v>1359590.8</v>
      </c>
      <c r="E220" s="7">
        <v>11074.6</v>
      </c>
      <c r="F220" s="8">
        <f t="shared" si="3"/>
        <v>-1348516.2</v>
      </c>
      <c r="G220" t="str">
        <f>IF(표1[[#This Row],[diff]]&gt;0,"import","export")</f>
        <v>export</v>
      </c>
    </row>
    <row r="221" spans="1:7" x14ac:dyDescent="0.3">
      <c r="A221" s="6">
        <v>2019</v>
      </c>
      <c r="B221" s="6">
        <v>3903901000</v>
      </c>
      <c r="C221" s="6" t="s">
        <v>312</v>
      </c>
      <c r="D221" s="7">
        <v>287423.90000000002</v>
      </c>
      <c r="E221" s="7">
        <v>6062.4</v>
      </c>
      <c r="F221" s="8">
        <f t="shared" si="3"/>
        <v>-281361.5</v>
      </c>
      <c r="G221" t="str">
        <f>IF(표1[[#This Row],[diff]]&gt;0,"import","export")</f>
        <v>export</v>
      </c>
    </row>
    <row r="222" spans="1:7" x14ac:dyDescent="0.3">
      <c r="A222" s="6">
        <v>2019</v>
      </c>
      <c r="B222" s="6">
        <v>3906100000</v>
      </c>
      <c r="C222" s="6" t="s">
        <v>313</v>
      </c>
      <c r="D222" s="7">
        <v>127757.6</v>
      </c>
      <c r="E222" s="7">
        <v>7040.7</v>
      </c>
      <c r="F222" s="8">
        <f t="shared" si="3"/>
        <v>-120716.90000000001</v>
      </c>
      <c r="G222" t="str">
        <f>IF(표1[[#This Row],[diff]]&gt;0,"import","export")</f>
        <v>export</v>
      </c>
    </row>
    <row r="223" spans="1:7" x14ac:dyDescent="0.3">
      <c r="A223" s="6">
        <v>2019</v>
      </c>
      <c r="B223" s="6">
        <v>3907400000</v>
      </c>
      <c r="C223" s="6" t="s">
        <v>314</v>
      </c>
      <c r="D223" s="7">
        <v>632851.30000000005</v>
      </c>
      <c r="E223" s="7">
        <v>69644</v>
      </c>
      <c r="F223" s="8">
        <f t="shared" si="3"/>
        <v>-563207.30000000005</v>
      </c>
      <c r="G223" t="str">
        <f>IF(표1[[#This Row],[diff]]&gt;0,"import","export")</f>
        <v>export</v>
      </c>
    </row>
    <row r="224" spans="1:7" x14ac:dyDescent="0.3">
      <c r="A224" s="6">
        <v>2019</v>
      </c>
      <c r="B224" s="6">
        <v>3909500000</v>
      </c>
      <c r="C224" s="6" t="s">
        <v>315</v>
      </c>
      <c r="D224" s="7">
        <v>86554.1</v>
      </c>
      <c r="E224" s="7">
        <v>26843.1</v>
      </c>
      <c r="F224" s="8">
        <f t="shared" si="3"/>
        <v>-59711.000000000007</v>
      </c>
      <c r="G224" t="str">
        <f>IF(표1[[#This Row],[diff]]&gt;0,"import","export")</f>
        <v>export</v>
      </c>
    </row>
    <row r="225" spans="1:7" x14ac:dyDescent="0.3">
      <c r="A225" s="6">
        <v>2020</v>
      </c>
      <c r="B225" s="6">
        <v>2207200000</v>
      </c>
      <c r="C225" s="6" t="s">
        <v>331</v>
      </c>
      <c r="D225" s="7">
        <v>29254.5</v>
      </c>
      <c r="E225" s="7">
        <v>306269.40000000002</v>
      </c>
      <c r="F225" s="8">
        <f t="shared" si="3"/>
        <v>277014.90000000002</v>
      </c>
      <c r="G225" t="str">
        <f>IF(표1[[#This Row],[diff]]&gt;0,"import","export")</f>
        <v>import</v>
      </c>
    </row>
    <row r="226" spans="1:7" x14ac:dyDescent="0.3">
      <c r="A226" s="6">
        <v>2020</v>
      </c>
      <c r="B226" s="6">
        <v>2901291000</v>
      </c>
      <c r="C226" s="6" t="s">
        <v>261</v>
      </c>
      <c r="D226" s="6">
        <v>252.2</v>
      </c>
      <c r="E226" s="7">
        <v>24759.4</v>
      </c>
      <c r="F226" s="8">
        <f t="shared" si="3"/>
        <v>24507.200000000001</v>
      </c>
      <c r="G226" t="str">
        <f>IF(표1[[#This Row],[diff]]&gt;0,"import","export")</f>
        <v>import</v>
      </c>
    </row>
    <row r="227" spans="1:7" x14ac:dyDescent="0.3">
      <c r="A227" s="6">
        <v>2020</v>
      </c>
      <c r="B227" s="6">
        <v>2901292000</v>
      </c>
      <c r="C227" s="6" t="s">
        <v>262</v>
      </c>
      <c r="D227" s="6">
        <v>98.1</v>
      </c>
      <c r="E227" s="7">
        <v>89540.7</v>
      </c>
      <c r="F227" s="8">
        <f t="shared" si="3"/>
        <v>89442.599999999991</v>
      </c>
      <c r="G227" t="str">
        <f>IF(표1[[#This Row],[diff]]&gt;0,"import","export")</f>
        <v>import</v>
      </c>
    </row>
    <row r="228" spans="1:7" x14ac:dyDescent="0.3">
      <c r="A228" s="6">
        <v>2020</v>
      </c>
      <c r="B228" s="6">
        <v>2902110000</v>
      </c>
      <c r="C228" s="6" t="s">
        <v>263</v>
      </c>
      <c r="D228" s="7">
        <v>4328.8</v>
      </c>
      <c r="E228" s="7">
        <v>12540</v>
      </c>
      <c r="F228" s="8">
        <f t="shared" si="3"/>
        <v>8211.2000000000007</v>
      </c>
      <c r="G228" t="str">
        <f>IF(표1[[#This Row],[diff]]&gt;0,"import","export")</f>
        <v>import</v>
      </c>
    </row>
    <row r="229" spans="1:7" x14ac:dyDescent="0.3">
      <c r="A229" s="6">
        <v>2020</v>
      </c>
      <c r="B229" s="6">
        <v>2902200000</v>
      </c>
      <c r="C229" s="6" t="s">
        <v>264</v>
      </c>
      <c r="D229" s="7">
        <v>2220315.2999999998</v>
      </c>
      <c r="E229" s="7">
        <v>58441.5</v>
      </c>
      <c r="F229" s="8">
        <f t="shared" si="3"/>
        <v>-2161873.7999999998</v>
      </c>
      <c r="G229" t="str">
        <f>IF(표1[[#This Row],[diff]]&gt;0,"import","export")</f>
        <v>export</v>
      </c>
    </row>
    <row r="230" spans="1:7" x14ac:dyDescent="0.3">
      <c r="A230" s="6">
        <v>2020</v>
      </c>
      <c r="B230" s="6">
        <v>2902300000</v>
      </c>
      <c r="C230" s="6" t="s">
        <v>265</v>
      </c>
      <c r="D230" s="7">
        <v>428578.3</v>
      </c>
      <c r="E230" s="7">
        <v>418808.3</v>
      </c>
      <c r="F230" s="8">
        <f t="shared" si="3"/>
        <v>-9770</v>
      </c>
      <c r="G230" t="str">
        <f>IF(표1[[#This Row],[diff]]&gt;0,"import","export")</f>
        <v>export</v>
      </c>
    </row>
    <row r="231" spans="1:7" x14ac:dyDescent="0.3">
      <c r="A231" s="6">
        <v>2020</v>
      </c>
      <c r="B231" s="6">
        <v>2902410000</v>
      </c>
      <c r="C231" s="6" t="s">
        <v>266</v>
      </c>
      <c r="D231" s="7">
        <v>55974.6</v>
      </c>
      <c r="E231" s="7">
        <v>9057.2999999999993</v>
      </c>
      <c r="F231" s="8">
        <f t="shared" si="3"/>
        <v>-46917.3</v>
      </c>
      <c r="G231" t="str">
        <f>IF(표1[[#This Row],[diff]]&gt;0,"import","export")</f>
        <v>export</v>
      </c>
    </row>
    <row r="232" spans="1:7" x14ac:dyDescent="0.3">
      <c r="A232" s="6">
        <v>2020</v>
      </c>
      <c r="B232" s="6">
        <v>2902420000</v>
      </c>
      <c r="C232" s="6" t="s">
        <v>267</v>
      </c>
      <c r="D232" s="7">
        <v>8939.7000000000007</v>
      </c>
      <c r="E232" s="7">
        <v>33301.699999999997</v>
      </c>
      <c r="F232" s="8">
        <f t="shared" si="3"/>
        <v>24361.999999999996</v>
      </c>
      <c r="G232" t="str">
        <f>IF(표1[[#This Row],[diff]]&gt;0,"import","export")</f>
        <v>import</v>
      </c>
    </row>
    <row r="233" spans="1:7" x14ac:dyDescent="0.3">
      <c r="A233" s="6">
        <v>2020</v>
      </c>
      <c r="B233" s="6">
        <v>2902430000</v>
      </c>
      <c r="C233" s="6" t="s">
        <v>268</v>
      </c>
      <c r="D233" s="7">
        <v>6075091.7000000002</v>
      </c>
      <c r="E233" s="7">
        <v>10003</v>
      </c>
      <c r="F233" s="8">
        <f t="shared" si="3"/>
        <v>-6065088.7000000002</v>
      </c>
      <c r="G233" t="str">
        <f>IF(표1[[#This Row],[diff]]&gt;0,"import","export")</f>
        <v>export</v>
      </c>
    </row>
    <row r="234" spans="1:7" x14ac:dyDescent="0.3">
      <c r="A234" s="6">
        <v>2020</v>
      </c>
      <c r="B234" s="6">
        <v>2902500000</v>
      </c>
      <c r="C234" s="6" t="s">
        <v>269</v>
      </c>
      <c r="D234" s="7">
        <v>765502.6</v>
      </c>
      <c r="E234" s="7">
        <v>726653.6</v>
      </c>
      <c r="F234" s="8">
        <f t="shared" si="3"/>
        <v>-38849</v>
      </c>
      <c r="G234" t="str">
        <f>IF(표1[[#This Row],[diff]]&gt;0,"import","export")</f>
        <v>export</v>
      </c>
    </row>
    <row r="235" spans="1:7" x14ac:dyDescent="0.3">
      <c r="A235" s="6">
        <v>2020</v>
      </c>
      <c r="B235" s="6">
        <v>2902600000</v>
      </c>
      <c r="C235" s="6" t="s">
        <v>270</v>
      </c>
      <c r="D235" s="6">
        <v>72</v>
      </c>
      <c r="E235" s="6">
        <v>3.6</v>
      </c>
      <c r="F235" s="8">
        <f t="shared" si="3"/>
        <v>-68.400000000000006</v>
      </c>
      <c r="G235" t="str">
        <f>IF(표1[[#This Row],[diff]]&gt;0,"import","export")</f>
        <v>export</v>
      </c>
    </row>
    <row r="236" spans="1:7" x14ac:dyDescent="0.3">
      <c r="A236" s="6">
        <v>2020</v>
      </c>
      <c r="B236" s="6">
        <v>2902700000</v>
      </c>
      <c r="C236" s="6" t="s">
        <v>271</v>
      </c>
      <c r="D236" s="7">
        <v>29667.8</v>
      </c>
      <c r="E236" s="7">
        <v>13017.4</v>
      </c>
      <c r="F236" s="8">
        <f t="shared" si="3"/>
        <v>-16650.400000000001</v>
      </c>
      <c r="G236" t="str">
        <f>IF(표1[[#This Row],[diff]]&gt;0,"import","export")</f>
        <v>export</v>
      </c>
    </row>
    <row r="237" spans="1:7" x14ac:dyDescent="0.3">
      <c r="A237" s="6">
        <v>2020</v>
      </c>
      <c r="B237" s="6">
        <v>2903150000</v>
      </c>
      <c r="C237" s="6" t="s">
        <v>272</v>
      </c>
      <c r="D237" s="7">
        <v>342851.2</v>
      </c>
      <c r="E237" s="7">
        <v>144933.79999999999</v>
      </c>
      <c r="F237" s="8">
        <f t="shared" si="3"/>
        <v>-197917.40000000002</v>
      </c>
      <c r="G237" t="str">
        <f>IF(표1[[#This Row],[diff]]&gt;0,"import","export")</f>
        <v>export</v>
      </c>
    </row>
    <row r="238" spans="1:7" x14ac:dyDescent="0.3">
      <c r="A238" s="6">
        <v>2020</v>
      </c>
      <c r="B238" s="6">
        <v>2903210000</v>
      </c>
      <c r="C238" s="6" t="s">
        <v>273</v>
      </c>
      <c r="D238" s="7">
        <v>248303.9</v>
      </c>
      <c r="E238" s="7">
        <v>41265.4</v>
      </c>
      <c r="F238" s="8">
        <f t="shared" si="3"/>
        <v>-207038.5</v>
      </c>
      <c r="G238" t="str">
        <f>IF(표1[[#This Row],[diff]]&gt;0,"import","export")</f>
        <v>export</v>
      </c>
    </row>
    <row r="239" spans="1:7" x14ac:dyDescent="0.3">
      <c r="A239" s="6">
        <v>2020</v>
      </c>
      <c r="B239" s="6">
        <v>2905110000</v>
      </c>
      <c r="C239" s="6" t="s">
        <v>274</v>
      </c>
      <c r="D239" s="7">
        <v>5053.8</v>
      </c>
      <c r="E239" s="7">
        <v>1783853.6</v>
      </c>
      <c r="F239" s="8">
        <f t="shared" si="3"/>
        <v>1778799.8</v>
      </c>
      <c r="G239" t="str">
        <f>IF(표1[[#This Row],[diff]]&gt;0,"import","export")</f>
        <v>import</v>
      </c>
    </row>
    <row r="240" spans="1:7" x14ac:dyDescent="0.3">
      <c r="A240" s="6">
        <v>2020</v>
      </c>
      <c r="B240" s="6">
        <v>2905121000</v>
      </c>
      <c r="C240" s="6" t="s">
        <v>275</v>
      </c>
      <c r="D240" s="6">
        <v>109.7</v>
      </c>
      <c r="E240" s="7">
        <v>2304.6</v>
      </c>
      <c r="F240" s="8">
        <f t="shared" si="3"/>
        <v>2194.9</v>
      </c>
      <c r="G240" t="str">
        <f>IF(표1[[#This Row],[diff]]&gt;0,"import","export")</f>
        <v>import</v>
      </c>
    </row>
    <row r="241" spans="1:7" x14ac:dyDescent="0.3">
      <c r="A241" s="6">
        <v>2020</v>
      </c>
      <c r="B241" s="6">
        <v>2905130000</v>
      </c>
      <c r="C241" s="6" t="s">
        <v>276</v>
      </c>
      <c r="D241" s="6">
        <v>274.8</v>
      </c>
      <c r="E241" s="7">
        <v>51887.4</v>
      </c>
      <c r="F241" s="8">
        <f t="shared" si="3"/>
        <v>51612.6</v>
      </c>
      <c r="G241" t="str">
        <f>IF(표1[[#This Row],[diff]]&gt;0,"import","export")</f>
        <v>import</v>
      </c>
    </row>
    <row r="242" spans="1:7" x14ac:dyDescent="0.3">
      <c r="A242" s="6">
        <v>2020</v>
      </c>
      <c r="B242" s="6">
        <v>2905161000</v>
      </c>
      <c r="C242" s="6" t="s">
        <v>277</v>
      </c>
      <c r="D242" s="7">
        <v>67421.7</v>
      </c>
      <c r="E242" s="7">
        <v>73255.3</v>
      </c>
      <c r="F242" s="8">
        <f t="shared" si="3"/>
        <v>5833.6000000000058</v>
      </c>
      <c r="G242" t="str">
        <f>IF(표1[[#This Row],[diff]]&gt;0,"import","export")</f>
        <v>import</v>
      </c>
    </row>
    <row r="243" spans="1:7" x14ac:dyDescent="0.3">
      <c r="A243" s="6">
        <v>2020</v>
      </c>
      <c r="B243" s="6">
        <v>2905310000</v>
      </c>
      <c r="C243" s="6" t="s">
        <v>278</v>
      </c>
      <c r="D243" s="7">
        <v>309231.7</v>
      </c>
      <c r="E243" s="7">
        <v>399106.3</v>
      </c>
      <c r="F243" s="8">
        <f t="shared" si="3"/>
        <v>89874.599999999977</v>
      </c>
      <c r="G243" t="str">
        <f>IF(표1[[#This Row],[diff]]&gt;0,"import","export")</f>
        <v>import</v>
      </c>
    </row>
    <row r="244" spans="1:7" x14ac:dyDescent="0.3">
      <c r="A244" s="6">
        <v>2020</v>
      </c>
      <c r="B244" s="6">
        <v>2905320000</v>
      </c>
      <c r="C244" s="6" t="s">
        <v>279</v>
      </c>
      <c r="D244" s="7">
        <v>105416.2</v>
      </c>
      <c r="E244" s="7">
        <v>15595.4</v>
      </c>
      <c r="F244" s="8">
        <f t="shared" si="3"/>
        <v>-89820.800000000003</v>
      </c>
      <c r="G244" t="str">
        <f>IF(표1[[#This Row],[diff]]&gt;0,"import","export")</f>
        <v>export</v>
      </c>
    </row>
    <row r="245" spans="1:7" x14ac:dyDescent="0.3">
      <c r="A245" s="6">
        <v>2020</v>
      </c>
      <c r="B245" s="6">
        <v>2907111000</v>
      </c>
      <c r="C245" s="6" t="s">
        <v>280</v>
      </c>
      <c r="D245" s="7">
        <v>266610.40000000002</v>
      </c>
      <c r="E245" s="7">
        <v>53081.3</v>
      </c>
      <c r="F245" s="8">
        <f t="shared" si="3"/>
        <v>-213529.10000000003</v>
      </c>
      <c r="G245" t="str">
        <f>IF(표1[[#This Row],[diff]]&gt;0,"import","export")</f>
        <v>export</v>
      </c>
    </row>
    <row r="246" spans="1:7" x14ac:dyDescent="0.3">
      <c r="A246" s="6">
        <v>2020</v>
      </c>
      <c r="B246" s="6">
        <v>2907231000</v>
      </c>
      <c r="C246" s="6" t="s">
        <v>281</v>
      </c>
      <c r="D246" s="7">
        <v>309492.7</v>
      </c>
      <c r="E246" s="7">
        <v>139095.20000000001</v>
      </c>
      <c r="F246" s="8">
        <f t="shared" si="3"/>
        <v>-170397.5</v>
      </c>
      <c r="G246" t="str">
        <f>IF(표1[[#This Row],[diff]]&gt;0,"import","export")</f>
        <v>export</v>
      </c>
    </row>
    <row r="247" spans="1:7" x14ac:dyDescent="0.3">
      <c r="A247" s="6">
        <v>2020</v>
      </c>
      <c r="B247" s="6">
        <v>2909192000</v>
      </c>
      <c r="C247" s="6" t="s">
        <v>282</v>
      </c>
      <c r="D247" s="7">
        <v>36316.699999999997</v>
      </c>
      <c r="E247" s="7">
        <v>179092.1</v>
      </c>
      <c r="F247" s="8">
        <f t="shared" si="3"/>
        <v>142775.40000000002</v>
      </c>
      <c r="G247" t="str">
        <f>IF(표1[[#This Row],[diff]]&gt;0,"import","export")</f>
        <v>import</v>
      </c>
    </row>
    <row r="248" spans="1:7" x14ac:dyDescent="0.3">
      <c r="A248" s="6">
        <v>2020</v>
      </c>
      <c r="B248" s="6">
        <v>2910100000</v>
      </c>
      <c r="C248" s="6" t="s">
        <v>283</v>
      </c>
      <c r="D248" s="6">
        <v>161.5</v>
      </c>
      <c r="E248" s="6">
        <v>46.3</v>
      </c>
      <c r="F248" s="8">
        <f t="shared" si="3"/>
        <v>-115.2</v>
      </c>
      <c r="G248" t="str">
        <f>IF(표1[[#This Row],[diff]]&gt;0,"import","export")</f>
        <v>export</v>
      </c>
    </row>
    <row r="249" spans="1:7" x14ac:dyDescent="0.3">
      <c r="A249" s="6">
        <v>2020</v>
      </c>
      <c r="B249" s="6">
        <v>2910200000</v>
      </c>
      <c r="C249" s="6" t="s">
        <v>284</v>
      </c>
      <c r="D249" s="7">
        <v>124437.6</v>
      </c>
      <c r="E249" s="7">
        <v>68528.3</v>
      </c>
      <c r="F249" s="8">
        <f t="shared" si="3"/>
        <v>-55909.3</v>
      </c>
      <c r="G249" t="str">
        <f>IF(표1[[#This Row],[diff]]&gt;0,"import","export")</f>
        <v>export</v>
      </c>
    </row>
    <row r="250" spans="1:7" x14ac:dyDescent="0.3">
      <c r="A250" s="6">
        <v>2020</v>
      </c>
      <c r="B250" s="6">
        <v>2912110000</v>
      </c>
      <c r="C250" s="6" t="s">
        <v>285</v>
      </c>
      <c r="D250" s="6">
        <v>51.6</v>
      </c>
      <c r="E250" s="6">
        <v>490</v>
      </c>
      <c r="F250" s="8">
        <f t="shared" si="3"/>
        <v>438.4</v>
      </c>
      <c r="G250" t="str">
        <f>IF(표1[[#This Row],[diff]]&gt;0,"import","export")</f>
        <v>import</v>
      </c>
    </row>
    <row r="251" spans="1:7" x14ac:dyDescent="0.3">
      <c r="A251" s="6">
        <v>2020</v>
      </c>
      <c r="B251" s="6">
        <v>2912120000</v>
      </c>
      <c r="C251" s="6" t="s">
        <v>286</v>
      </c>
      <c r="D251" s="6">
        <v>0.2</v>
      </c>
      <c r="E251" s="6">
        <v>25.6</v>
      </c>
      <c r="F251" s="8">
        <f t="shared" si="3"/>
        <v>25.400000000000002</v>
      </c>
      <c r="G251" t="str">
        <f>IF(표1[[#This Row],[diff]]&gt;0,"import","export")</f>
        <v>import</v>
      </c>
    </row>
    <row r="252" spans="1:7" x14ac:dyDescent="0.3">
      <c r="A252" s="6">
        <v>2020</v>
      </c>
      <c r="B252" s="6">
        <v>2912193000</v>
      </c>
      <c r="C252" s="6" t="s">
        <v>287</v>
      </c>
      <c r="D252" s="7">
        <v>2135</v>
      </c>
      <c r="E252" s="7">
        <v>1815.6</v>
      </c>
      <c r="F252" s="8">
        <f t="shared" si="3"/>
        <v>-319.40000000000009</v>
      </c>
      <c r="G252" t="str">
        <f>IF(표1[[#This Row],[diff]]&gt;0,"import","export")</f>
        <v>export</v>
      </c>
    </row>
    <row r="253" spans="1:7" x14ac:dyDescent="0.3">
      <c r="A253" s="6">
        <v>2020</v>
      </c>
      <c r="B253" s="6">
        <v>2914110000</v>
      </c>
      <c r="C253" s="6" t="s">
        <v>288</v>
      </c>
      <c r="D253" s="7">
        <v>213689.1</v>
      </c>
      <c r="E253" s="7">
        <v>7938</v>
      </c>
      <c r="F253" s="8">
        <f t="shared" si="3"/>
        <v>-205751.1</v>
      </c>
      <c r="G253" t="str">
        <f>IF(표1[[#This Row],[diff]]&gt;0,"import","export")</f>
        <v>export</v>
      </c>
    </row>
    <row r="254" spans="1:7" x14ac:dyDescent="0.3">
      <c r="A254" s="6">
        <v>2020</v>
      </c>
      <c r="B254" s="6">
        <v>2914221000</v>
      </c>
      <c r="C254" s="6" t="s">
        <v>289</v>
      </c>
      <c r="D254" s="6">
        <v>908.2</v>
      </c>
      <c r="E254" s="7">
        <v>7723.8</v>
      </c>
      <c r="F254" s="8">
        <f t="shared" si="3"/>
        <v>6815.6</v>
      </c>
      <c r="G254" t="str">
        <f>IF(표1[[#This Row],[diff]]&gt;0,"import","export")</f>
        <v>import</v>
      </c>
    </row>
    <row r="255" spans="1:7" x14ac:dyDescent="0.3">
      <c r="A255" s="6">
        <v>2020</v>
      </c>
      <c r="B255" s="6">
        <v>2915210000</v>
      </c>
      <c r="C255" s="6" t="s">
        <v>290</v>
      </c>
      <c r="D255" s="7">
        <v>200147.1</v>
      </c>
      <c r="E255" s="7">
        <v>53104.1</v>
      </c>
      <c r="F255" s="8">
        <f t="shared" si="3"/>
        <v>-147043</v>
      </c>
      <c r="G255" t="str">
        <f>IF(표1[[#This Row],[diff]]&gt;0,"import","export")</f>
        <v>export</v>
      </c>
    </row>
    <row r="256" spans="1:7" x14ac:dyDescent="0.3">
      <c r="A256" s="6">
        <v>2020</v>
      </c>
      <c r="B256" s="6">
        <v>2915320000</v>
      </c>
      <c r="C256" s="6" t="s">
        <v>291</v>
      </c>
      <c r="D256" s="7">
        <v>74829.100000000006</v>
      </c>
      <c r="E256" s="7">
        <v>82241.5</v>
      </c>
      <c r="F256" s="8">
        <f t="shared" si="3"/>
        <v>7412.3999999999942</v>
      </c>
      <c r="G256" t="str">
        <f>IF(표1[[#This Row],[diff]]&gt;0,"import","export")</f>
        <v>import</v>
      </c>
    </row>
    <row r="257" spans="1:7" x14ac:dyDescent="0.3">
      <c r="A257" s="6">
        <v>2020</v>
      </c>
      <c r="B257" s="6">
        <v>2916111000</v>
      </c>
      <c r="C257" s="6" t="s">
        <v>292</v>
      </c>
      <c r="D257" s="7">
        <v>39015.9</v>
      </c>
      <c r="E257" s="7">
        <v>34719.300000000003</v>
      </c>
      <c r="F257" s="8">
        <f t="shared" si="3"/>
        <v>-4296.5999999999985</v>
      </c>
      <c r="G257" t="str">
        <f>IF(표1[[#This Row],[diff]]&gt;0,"import","export")</f>
        <v>export</v>
      </c>
    </row>
    <row r="258" spans="1:7" x14ac:dyDescent="0.3">
      <c r="A258" s="6">
        <v>2020</v>
      </c>
      <c r="B258" s="6">
        <v>2916121000</v>
      </c>
      <c r="C258" s="6" t="s">
        <v>293</v>
      </c>
      <c r="D258" s="7">
        <v>15508.8</v>
      </c>
      <c r="E258" s="7">
        <v>13472.8</v>
      </c>
      <c r="F258" s="8">
        <f t="shared" si="3"/>
        <v>-2036</v>
      </c>
      <c r="G258" t="str">
        <f>IF(표1[[#This Row],[diff]]&gt;0,"import","export")</f>
        <v>export</v>
      </c>
    </row>
    <row r="259" spans="1:7" x14ac:dyDescent="0.3">
      <c r="A259" s="6">
        <v>2020</v>
      </c>
      <c r="B259" s="6">
        <v>2916141000</v>
      </c>
      <c r="C259" s="6" t="s">
        <v>294</v>
      </c>
      <c r="D259" s="7">
        <v>31522.400000000001</v>
      </c>
      <c r="E259" s="7">
        <v>30242.400000000001</v>
      </c>
      <c r="F259" s="8">
        <f t="shared" ref="F259:F322" si="4">E259-D259</f>
        <v>-1280</v>
      </c>
      <c r="G259" t="str">
        <f>IF(표1[[#This Row],[diff]]&gt;0,"import","export")</f>
        <v>export</v>
      </c>
    </row>
    <row r="260" spans="1:7" x14ac:dyDescent="0.3">
      <c r="A260" s="6">
        <v>2020</v>
      </c>
      <c r="B260" s="6">
        <v>2917140000</v>
      </c>
      <c r="C260" s="6" t="s">
        <v>295</v>
      </c>
      <c r="D260" s="7">
        <v>42899.3</v>
      </c>
      <c r="E260" s="7">
        <v>3098.4</v>
      </c>
      <c r="F260" s="8">
        <f t="shared" si="4"/>
        <v>-39800.9</v>
      </c>
      <c r="G260" t="str">
        <f>IF(표1[[#This Row],[diff]]&gt;0,"import","export")</f>
        <v>export</v>
      </c>
    </row>
    <row r="261" spans="1:7" x14ac:dyDescent="0.3">
      <c r="A261" s="6">
        <v>2020</v>
      </c>
      <c r="B261" s="6">
        <v>2917350000</v>
      </c>
      <c r="C261" s="6" t="s">
        <v>296</v>
      </c>
      <c r="D261" s="7">
        <v>187015.6</v>
      </c>
      <c r="E261" s="6">
        <v>15.6</v>
      </c>
      <c r="F261" s="8">
        <f t="shared" si="4"/>
        <v>-187000</v>
      </c>
      <c r="G261" t="str">
        <f>IF(표1[[#This Row],[diff]]&gt;0,"import","export")</f>
        <v>export</v>
      </c>
    </row>
    <row r="262" spans="1:7" x14ac:dyDescent="0.3">
      <c r="A262" s="6">
        <v>2020</v>
      </c>
      <c r="B262" s="6">
        <v>2917361000</v>
      </c>
      <c r="C262" s="6" t="s">
        <v>297</v>
      </c>
      <c r="D262" s="7">
        <v>1950349.9</v>
      </c>
      <c r="E262" s="6">
        <v>620.9</v>
      </c>
      <c r="F262" s="8">
        <f t="shared" si="4"/>
        <v>-1949729</v>
      </c>
      <c r="G262" t="str">
        <f>IF(표1[[#This Row],[diff]]&gt;0,"import","export")</f>
        <v>export</v>
      </c>
    </row>
    <row r="263" spans="1:7" x14ac:dyDescent="0.3">
      <c r="A263" s="6">
        <v>2020</v>
      </c>
      <c r="B263" s="6">
        <v>2917370000</v>
      </c>
      <c r="C263" s="6" t="s">
        <v>298</v>
      </c>
      <c r="D263" s="7">
        <v>39620</v>
      </c>
      <c r="E263" s="6">
        <v>373.8</v>
      </c>
      <c r="F263" s="8">
        <f t="shared" si="4"/>
        <v>-39246.199999999997</v>
      </c>
      <c r="G263" t="str">
        <f>IF(표1[[#This Row],[diff]]&gt;0,"import","export")</f>
        <v>export</v>
      </c>
    </row>
    <row r="264" spans="1:7" x14ac:dyDescent="0.3">
      <c r="A264" s="6">
        <v>2020</v>
      </c>
      <c r="B264" s="6">
        <v>2921411000</v>
      </c>
      <c r="C264" s="6" t="s">
        <v>299</v>
      </c>
      <c r="D264" s="7">
        <v>1869.5</v>
      </c>
      <c r="E264" s="7">
        <v>4243.2</v>
      </c>
      <c r="F264" s="8">
        <f t="shared" si="4"/>
        <v>2373.6999999999998</v>
      </c>
      <c r="G264" t="str">
        <f>IF(표1[[#This Row],[diff]]&gt;0,"import","export")</f>
        <v>import</v>
      </c>
    </row>
    <row r="265" spans="1:7" x14ac:dyDescent="0.3">
      <c r="A265" s="6">
        <v>2020</v>
      </c>
      <c r="B265" s="6">
        <v>2922111000</v>
      </c>
      <c r="C265" s="6" t="s">
        <v>300</v>
      </c>
      <c r="D265" s="6">
        <v>595.4</v>
      </c>
      <c r="E265" s="7">
        <v>6578.3</v>
      </c>
      <c r="F265" s="8">
        <f t="shared" si="4"/>
        <v>5982.9000000000005</v>
      </c>
      <c r="G265" t="str">
        <f>IF(표1[[#This Row],[diff]]&gt;0,"import","export")</f>
        <v>import</v>
      </c>
    </row>
    <row r="266" spans="1:7" x14ac:dyDescent="0.3">
      <c r="A266" s="6">
        <v>2020</v>
      </c>
      <c r="B266" s="6">
        <v>2922121000</v>
      </c>
      <c r="C266" s="6" t="s">
        <v>301</v>
      </c>
      <c r="D266" s="7">
        <v>1239</v>
      </c>
      <c r="E266" s="7">
        <v>3223.4</v>
      </c>
      <c r="F266" s="8">
        <f t="shared" si="4"/>
        <v>1984.4</v>
      </c>
      <c r="G266" t="str">
        <f>IF(표1[[#This Row],[diff]]&gt;0,"import","export")</f>
        <v>import</v>
      </c>
    </row>
    <row r="267" spans="1:7" x14ac:dyDescent="0.3">
      <c r="A267" s="6">
        <v>2020</v>
      </c>
      <c r="B267" s="6">
        <v>2922150000</v>
      </c>
      <c r="C267" s="6" t="s">
        <v>302</v>
      </c>
      <c r="D267" s="7">
        <v>1402.9</v>
      </c>
      <c r="E267" s="7">
        <v>9098.5</v>
      </c>
      <c r="F267" s="8">
        <f t="shared" si="4"/>
        <v>7695.6</v>
      </c>
      <c r="G267" t="str">
        <f>IF(표1[[#This Row],[diff]]&gt;0,"import","export")</f>
        <v>import</v>
      </c>
    </row>
    <row r="268" spans="1:7" x14ac:dyDescent="0.3">
      <c r="A268" s="6">
        <v>2020</v>
      </c>
      <c r="B268" s="6">
        <v>2926100000</v>
      </c>
      <c r="C268" s="6" t="s">
        <v>303</v>
      </c>
      <c r="D268" s="7">
        <v>204289.3</v>
      </c>
      <c r="E268" s="7">
        <v>187214</v>
      </c>
      <c r="F268" s="8">
        <f t="shared" si="4"/>
        <v>-17075.299999999988</v>
      </c>
      <c r="G268" t="str">
        <f>IF(표1[[#This Row],[diff]]&gt;0,"import","export")</f>
        <v>export</v>
      </c>
    </row>
    <row r="269" spans="1:7" x14ac:dyDescent="0.3">
      <c r="A269" s="6">
        <v>2020</v>
      </c>
      <c r="B269" s="6">
        <v>2929101000</v>
      </c>
      <c r="C269" s="6" t="s">
        <v>304</v>
      </c>
      <c r="D269" s="7">
        <v>211185.4</v>
      </c>
      <c r="E269" s="7">
        <v>2706.1</v>
      </c>
      <c r="F269" s="8">
        <f t="shared" si="4"/>
        <v>-208479.3</v>
      </c>
      <c r="G269" t="str">
        <f>IF(표1[[#This Row],[diff]]&gt;0,"import","export")</f>
        <v>export</v>
      </c>
    </row>
    <row r="270" spans="1:7" x14ac:dyDescent="0.3">
      <c r="A270" s="6">
        <v>2020</v>
      </c>
      <c r="B270" s="6">
        <v>2929102000</v>
      </c>
      <c r="C270" s="6" t="s">
        <v>305</v>
      </c>
      <c r="D270" s="7">
        <v>96044.9</v>
      </c>
      <c r="E270" s="7">
        <v>2150.1999999999998</v>
      </c>
      <c r="F270" s="8">
        <f t="shared" si="4"/>
        <v>-93894.7</v>
      </c>
      <c r="G270" t="str">
        <f>IF(표1[[#This Row],[diff]]&gt;0,"import","export")</f>
        <v>export</v>
      </c>
    </row>
    <row r="271" spans="1:7" x14ac:dyDescent="0.3">
      <c r="A271" s="6">
        <v>2020</v>
      </c>
      <c r="B271" s="6">
        <v>2933710000</v>
      </c>
      <c r="C271" s="6" t="s">
        <v>306</v>
      </c>
      <c r="D271" s="7">
        <v>46321</v>
      </c>
      <c r="E271" s="7">
        <v>22287.599999999999</v>
      </c>
      <c r="F271" s="8">
        <f t="shared" si="4"/>
        <v>-24033.4</v>
      </c>
      <c r="G271" t="str">
        <f>IF(표1[[#This Row],[diff]]&gt;0,"import","export")</f>
        <v>export</v>
      </c>
    </row>
    <row r="272" spans="1:7" x14ac:dyDescent="0.3">
      <c r="A272" s="6">
        <v>2020</v>
      </c>
      <c r="B272" s="6">
        <v>3901101000</v>
      </c>
      <c r="C272" s="6" t="s">
        <v>307</v>
      </c>
      <c r="D272" s="7">
        <v>278665.40000000002</v>
      </c>
      <c r="E272" s="7">
        <v>58581.2</v>
      </c>
      <c r="F272" s="8">
        <f t="shared" si="4"/>
        <v>-220084.2</v>
      </c>
      <c r="G272" t="str">
        <f>IF(표1[[#This Row],[diff]]&gt;0,"import","export")</f>
        <v>export</v>
      </c>
    </row>
    <row r="273" spans="1:7" x14ac:dyDescent="0.3">
      <c r="A273" s="6">
        <v>2020</v>
      </c>
      <c r="B273" s="6">
        <v>3902100000</v>
      </c>
      <c r="C273" s="6" t="s">
        <v>308</v>
      </c>
      <c r="D273" s="7">
        <v>1767085.2</v>
      </c>
      <c r="E273" s="7">
        <v>12168.8</v>
      </c>
      <c r="F273" s="8">
        <f t="shared" si="4"/>
        <v>-1754916.4</v>
      </c>
      <c r="G273" t="str">
        <f>IF(표1[[#This Row],[diff]]&gt;0,"import","export")</f>
        <v>export</v>
      </c>
    </row>
    <row r="274" spans="1:7" x14ac:dyDescent="0.3">
      <c r="A274" s="6">
        <v>2020</v>
      </c>
      <c r="B274" s="6">
        <v>3902200000</v>
      </c>
      <c r="C274" s="6" t="s">
        <v>309</v>
      </c>
      <c r="D274" s="7">
        <v>154733.29999999999</v>
      </c>
      <c r="E274" s="7">
        <v>1055.7</v>
      </c>
      <c r="F274" s="8">
        <f t="shared" si="4"/>
        <v>-153677.59999999998</v>
      </c>
      <c r="G274" t="str">
        <f>IF(표1[[#This Row],[diff]]&gt;0,"import","export")</f>
        <v>export</v>
      </c>
    </row>
    <row r="275" spans="1:7" x14ac:dyDescent="0.3">
      <c r="A275" s="6">
        <v>2020</v>
      </c>
      <c r="B275" s="6">
        <v>3903200000</v>
      </c>
      <c r="C275" s="6" t="s">
        <v>310</v>
      </c>
      <c r="D275" s="7">
        <v>198865.7</v>
      </c>
      <c r="E275" s="7">
        <v>5314.8</v>
      </c>
      <c r="F275" s="8">
        <f t="shared" si="4"/>
        <v>-193550.90000000002</v>
      </c>
      <c r="G275" t="str">
        <f>IF(표1[[#This Row],[diff]]&gt;0,"import","export")</f>
        <v>export</v>
      </c>
    </row>
    <row r="276" spans="1:7" x14ac:dyDescent="0.3">
      <c r="A276" s="6">
        <v>2020</v>
      </c>
      <c r="B276" s="6">
        <v>3903300000</v>
      </c>
      <c r="C276" s="6" t="s">
        <v>311</v>
      </c>
      <c r="D276" s="7">
        <v>1348427.7</v>
      </c>
      <c r="E276" s="7">
        <v>9315.2999999999993</v>
      </c>
      <c r="F276" s="8">
        <f t="shared" si="4"/>
        <v>-1339112.3999999999</v>
      </c>
      <c r="G276" t="str">
        <f>IF(표1[[#This Row],[diff]]&gt;0,"import","export")</f>
        <v>export</v>
      </c>
    </row>
    <row r="277" spans="1:7" x14ac:dyDescent="0.3">
      <c r="A277" s="6">
        <v>2020</v>
      </c>
      <c r="B277" s="6">
        <v>3903901000</v>
      </c>
      <c r="C277" s="6" t="s">
        <v>312</v>
      </c>
      <c r="D277" s="7">
        <v>307087.3</v>
      </c>
      <c r="E277" s="7">
        <v>6891.7</v>
      </c>
      <c r="F277" s="8">
        <f t="shared" si="4"/>
        <v>-300195.59999999998</v>
      </c>
      <c r="G277" t="str">
        <f>IF(표1[[#This Row],[diff]]&gt;0,"import","export")</f>
        <v>export</v>
      </c>
    </row>
    <row r="278" spans="1:7" x14ac:dyDescent="0.3">
      <c r="A278" s="6">
        <v>2020</v>
      </c>
      <c r="B278" s="6">
        <v>3906100000</v>
      </c>
      <c r="C278" s="6" t="s">
        <v>313</v>
      </c>
      <c r="D278" s="7">
        <v>131257.1</v>
      </c>
      <c r="E278" s="7">
        <v>4618.6000000000004</v>
      </c>
      <c r="F278" s="8">
        <f t="shared" si="4"/>
        <v>-126638.5</v>
      </c>
      <c r="G278" t="str">
        <f>IF(표1[[#This Row],[diff]]&gt;0,"import","export")</f>
        <v>export</v>
      </c>
    </row>
    <row r="279" spans="1:7" x14ac:dyDescent="0.3">
      <c r="A279" s="6">
        <v>2020</v>
      </c>
      <c r="B279" s="6">
        <v>3907400000</v>
      </c>
      <c r="C279" s="6" t="s">
        <v>314</v>
      </c>
      <c r="D279" s="7">
        <v>718689.6</v>
      </c>
      <c r="E279" s="7">
        <v>74702.5</v>
      </c>
      <c r="F279" s="8">
        <f t="shared" si="4"/>
        <v>-643987.1</v>
      </c>
      <c r="G279" t="str">
        <f>IF(표1[[#This Row],[diff]]&gt;0,"import","export")</f>
        <v>export</v>
      </c>
    </row>
    <row r="280" spans="1:7" x14ac:dyDescent="0.3">
      <c r="A280" s="6">
        <v>2020</v>
      </c>
      <c r="B280" s="6">
        <v>3909500000</v>
      </c>
      <c r="C280" s="6" t="s">
        <v>315</v>
      </c>
      <c r="D280" s="7">
        <v>77715.600000000006</v>
      </c>
      <c r="E280" s="7">
        <v>26521.4</v>
      </c>
      <c r="F280" s="8">
        <f t="shared" si="4"/>
        <v>-51194.200000000004</v>
      </c>
      <c r="G280" t="str">
        <f>IF(표1[[#This Row],[diff]]&gt;0,"import","export")</f>
        <v>export</v>
      </c>
    </row>
    <row r="281" spans="1:7" x14ac:dyDescent="0.3">
      <c r="A281" s="6">
        <v>2021</v>
      </c>
      <c r="B281" s="6">
        <v>2207200000</v>
      </c>
      <c r="C281" s="6" t="s">
        <v>331</v>
      </c>
      <c r="D281" s="7">
        <v>24563.4</v>
      </c>
      <c r="E281" s="7">
        <v>246133.8</v>
      </c>
      <c r="F281" s="8">
        <f t="shared" si="4"/>
        <v>221570.4</v>
      </c>
      <c r="G281" t="str">
        <f>IF(표1[[#This Row],[diff]]&gt;0,"import","export")</f>
        <v>import</v>
      </c>
    </row>
    <row r="282" spans="1:7" x14ac:dyDescent="0.3">
      <c r="A282" s="6">
        <v>2021</v>
      </c>
      <c r="B282" s="6">
        <v>2901291000</v>
      </c>
      <c r="C282" s="6" t="s">
        <v>261</v>
      </c>
      <c r="D282" s="6">
        <v>353.5</v>
      </c>
      <c r="E282" s="7">
        <v>56025.5</v>
      </c>
      <c r="F282" s="8">
        <f t="shared" si="4"/>
        <v>55672</v>
      </c>
      <c r="G282" t="str">
        <f>IF(표1[[#This Row],[diff]]&gt;0,"import","export")</f>
        <v>import</v>
      </c>
    </row>
    <row r="283" spans="1:7" x14ac:dyDescent="0.3">
      <c r="A283" s="6">
        <v>2021</v>
      </c>
      <c r="B283" s="6">
        <v>2901292000</v>
      </c>
      <c r="C283" s="6" t="s">
        <v>262</v>
      </c>
      <c r="D283" s="6">
        <v>123.9</v>
      </c>
      <c r="E283" s="7">
        <v>87481.9</v>
      </c>
      <c r="F283" s="8">
        <f t="shared" si="4"/>
        <v>87358</v>
      </c>
      <c r="G283" t="str">
        <f>IF(표1[[#This Row],[diff]]&gt;0,"import","export")</f>
        <v>import</v>
      </c>
    </row>
    <row r="284" spans="1:7" x14ac:dyDescent="0.3">
      <c r="A284" s="6">
        <v>2021</v>
      </c>
      <c r="B284" s="6">
        <v>2902110000</v>
      </c>
      <c r="C284" s="6" t="s">
        <v>263</v>
      </c>
      <c r="D284" s="7">
        <v>2527.3000000000002</v>
      </c>
      <c r="E284" s="7">
        <v>36395.800000000003</v>
      </c>
      <c r="F284" s="8">
        <f t="shared" si="4"/>
        <v>33868.5</v>
      </c>
      <c r="G284" t="str">
        <f>IF(표1[[#This Row],[diff]]&gt;0,"import","export")</f>
        <v>import</v>
      </c>
    </row>
    <row r="285" spans="1:7" x14ac:dyDescent="0.3">
      <c r="A285" s="6">
        <v>2021</v>
      </c>
      <c r="B285" s="6">
        <v>2902200000</v>
      </c>
      <c r="C285" s="6" t="s">
        <v>264</v>
      </c>
      <c r="D285" s="7">
        <v>2477148.5</v>
      </c>
      <c r="E285" s="7">
        <v>35603.1</v>
      </c>
      <c r="F285" s="8">
        <f t="shared" si="4"/>
        <v>-2441545.4</v>
      </c>
      <c r="G285" t="str">
        <f>IF(표1[[#This Row],[diff]]&gt;0,"import","export")</f>
        <v>export</v>
      </c>
    </row>
    <row r="286" spans="1:7" x14ac:dyDescent="0.3">
      <c r="A286" s="6">
        <v>2021</v>
      </c>
      <c r="B286" s="6">
        <v>2902300000</v>
      </c>
      <c r="C286" s="6" t="s">
        <v>265</v>
      </c>
      <c r="D286" s="7">
        <v>272458</v>
      </c>
      <c r="E286" s="7">
        <v>590298.30000000005</v>
      </c>
      <c r="F286" s="8">
        <f t="shared" si="4"/>
        <v>317840.30000000005</v>
      </c>
      <c r="G286" t="str">
        <f>IF(표1[[#This Row],[diff]]&gt;0,"import","export")</f>
        <v>import</v>
      </c>
    </row>
    <row r="287" spans="1:7" x14ac:dyDescent="0.3">
      <c r="A287" s="6">
        <v>2021</v>
      </c>
      <c r="B287" s="6">
        <v>2902410000</v>
      </c>
      <c r="C287" s="6" t="s">
        <v>266</v>
      </c>
      <c r="D287" s="7">
        <v>37272.5</v>
      </c>
      <c r="E287" s="7">
        <v>9907.1</v>
      </c>
      <c r="F287" s="8">
        <f t="shared" si="4"/>
        <v>-27365.4</v>
      </c>
      <c r="G287" t="str">
        <f>IF(표1[[#This Row],[diff]]&gt;0,"import","export")</f>
        <v>export</v>
      </c>
    </row>
    <row r="288" spans="1:7" x14ac:dyDescent="0.3">
      <c r="A288" s="6">
        <v>2021</v>
      </c>
      <c r="B288" s="6">
        <v>2902420000</v>
      </c>
      <c r="C288" s="6" t="s">
        <v>267</v>
      </c>
      <c r="D288" s="7">
        <v>17305.900000000001</v>
      </c>
      <c r="E288" s="7">
        <v>22698.1</v>
      </c>
      <c r="F288" s="8">
        <f t="shared" si="4"/>
        <v>5392.1999999999971</v>
      </c>
      <c r="G288" t="str">
        <f>IF(표1[[#This Row],[diff]]&gt;0,"import","export")</f>
        <v>import</v>
      </c>
    </row>
    <row r="289" spans="1:7" x14ac:dyDescent="0.3">
      <c r="A289" s="6">
        <v>2021</v>
      </c>
      <c r="B289" s="6">
        <v>2902430000</v>
      </c>
      <c r="C289" s="6" t="s">
        <v>268</v>
      </c>
      <c r="D289" s="7">
        <v>6176790</v>
      </c>
      <c r="E289" s="7">
        <v>14268.2</v>
      </c>
      <c r="F289" s="8">
        <f t="shared" si="4"/>
        <v>-6162521.7999999998</v>
      </c>
      <c r="G289" t="str">
        <f>IF(표1[[#This Row],[diff]]&gt;0,"import","export")</f>
        <v>export</v>
      </c>
    </row>
    <row r="290" spans="1:7" x14ac:dyDescent="0.3">
      <c r="A290" s="6">
        <v>2021</v>
      </c>
      <c r="B290" s="6">
        <v>2902500000</v>
      </c>
      <c r="C290" s="6" t="s">
        <v>269</v>
      </c>
      <c r="D290" s="7">
        <v>689110.8</v>
      </c>
      <c r="E290" s="7">
        <v>433677.4</v>
      </c>
      <c r="F290" s="8">
        <f t="shared" si="4"/>
        <v>-255433.40000000002</v>
      </c>
      <c r="G290" t="str">
        <f>IF(표1[[#This Row],[diff]]&gt;0,"import","export")</f>
        <v>export</v>
      </c>
    </row>
    <row r="291" spans="1:7" x14ac:dyDescent="0.3">
      <c r="A291" s="6">
        <v>2021</v>
      </c>
      <c r="B291" s="6">
        <v>2902600000</v>
      </c>
      <c r="C291" s="6" t="s">
        <v>270</v>
      </c>
      <c r="D291" s="6">
        <v>56</v>
      </c>
      <c r="E291" s="6">
        <v>21.2</v>
      </c>
      <c r="F291" s="8">
        <f t="shared" si="4"/>
        <v>-34.799999999999997</v>
      </c>
      <c r="G291" t="str">
        <f>IF(표1[[#This Row],[diff]]&gt;0,"import","export")</f>
        <v>export</v>
      </c>
    </row>
    <row r="292" spans="1:7" x14ac:dyDescent="0.3">
      <c r="A292" s="6">
        <v>2021</v>
      </c>
      <c r="B292" s="6">
        <v>2902700000</v>
      </c>
      <c r="C292" s="6" t="s">
        <v>271</v>
      </c>
      <c r="D292" s="7">
        <v>30942.6</v>
      </c>
      <c r="E292" s="7">
        <v>25826.2</v>
      </c>
      <c r="F292" s="8">
        <f t="shared" si="4"/>
        <v>-5116.3999999999978</v>
      </c>
      <c r="G292" t="str">
        <f>IF(표1[[#This Row],[diff]]&gt;0,"import","export")</f>
        <v>export</v>
      </c>
    </row>
    <row r="293" spans="1:7" x14ac:dyDescent="0.3">
      <c r="A293" s="6">
        <v>2021</v>
      </c>
      <c r="B293" s="6">
        <v>2903150000</v>
      </c>
      <c r="C293" s="6" t="s">
        <v>272</v>
      </c>
      <c r="D293" s="7">
        <v>223015.3</v>
      </c>
      <c r="E293" s="7">
        <v>59237.5</v>
      </c>
      <c r="F293" s="8">
        <f t="shared" si="4"/>
        <v>-163777.79999999999</v>
      </c>
      <c r="G293" t="str">
        <f>IF(표1[[#This Row],[diff]]&gt;0,"import","export")</f>
        <v>export</v>
      </c>
    </row>
    <row r="294" spans="1:7" x14ac:dyDescent="0.3">
      <c r="A294" s="6">
        <v>2021</v>
      </c>
      <c r="B294" s="6">
        <v>2903210000</v>
      </c>
      <c r="C294" s="6" t="s">
        <v>273</v>
      </c>
      <c r="D294" s="7">
        <v>240821.6</v>
      </c>
      <c r="E294" s="7">
        <v>105159.7</v>
      </c>
      <c r="F294" s="8">
        <f t="shared" si="4"/>
        <v>-135661.90000000002</v>
      </c>
      <c r="G294" t="str">
        <f>IF(표1[[#This Row],[diff]]&gt;0,"import","export")</f>
        <v>export</v>
      </c>
    </row>
    <row r="295" spans="1:7" x14ac:dyDescent="0.3">
      <c r="A295" s="6">
        <v>2021</v>
      </c>
      <c r="B295" s="6">
        <v>2905110000</v>
      </c>
      <c r="C295" s="6" t="s">
        <v>274</v>
      </c>
      <c r="D295" s="7">
        <v>12301.8</v>
      </c>
      <c r="E295" s="7">
        <v>2017779.6</v>
      </c>
      <c r="F295" s="8">
        <f t="shared" si="4"/>
        <v>2005477.8</v>
      </c>
      <c r="G295" t="str">
        <f>IF(표1[[#This Row],[diff]]&gt;0,"import","export")</f>
        <v>import</v>
      </c>
    </row>
    <row r="296" spans="1:7" x14ac:dyDescent="0.3">
      <c r="A296" s="6">
        <v>2021</v>
      </c>
      <c r="B296" s="6">
        <v>2905121000</v>
      </c>
      <c r="C296" s="6" t="s">
        <v>275</v>
      </c>
      <c r="D296" s="6">
        <v>390.2</v>
      </c>
      <c r="E296" s="7">
        <v>3619.7</v>
      </c>
      <c r="F296" s="8">
        <f t="shared" si="4"/>
        <v>3229.5</v>
      </c>
      <c r="G296" t="str">
        <f>IF(표1[[#This Row],[diff]]&gt;0,"import","export")</f>
        <v>import</v>
      </c>
    </row>
    <row r="297" spans="1:7" x14ac:dyDescent="0.3">
      <c r="A297" s="6">
        <v>2021</v>
      </c>
      <c r="B297" s="6">
        <v>2905130000</v>
      </c>
      <c r="C297" s="6" t="s">
        <v>276</v>
      </c>
      <c r="D297" s="6">
        <v>327.7</v>
      </c>
      <c r="E297" s="7">
        <v>56933.1</v>
      </c>
      <c r="F297" s="8">
        <f t="shared" si="4"/>
        <v>56605.4</v>
      </c>
      <c r="G297" t="str">
        <f>IF(표1[[#This Row],[diff]]&gt;0,"import","export")</f>
        <v>import</v>
      </c>
    </row>
    <row r="298" spans="1:7" x14ac:dyDescent="0.3">
      <c r="A298" s="6">
        <v>2021</v>
      </c>
      <c r="B298" s="6">
        <v>2905161000</v>
      </c>
      <c r="C298" s="6" t="s">
        <v>277</v>
      </c>
      <c r="D298" s="7">
        <v>93770.1</v>
      </c>
      <c r="E298" s="7">
        <v>66394.2</v>
      </c>
      <c r="F298" s="8">
        <f t="shared" si="4"/>
        <v>-27375.900000000009</v>
      </c>
      <c r="G298" t="str">
        <f>IF(표1[[#This Row],[diff]]&gt;0,"import","export")</f>
        <v>export</v>
      </c>
    </row>
    <row r="299" spans="1:7" x14ac:dyDescent="0.3">
      <c r="A299" s="6">
        <v>2021</v>
      </c>
      <c r="B299" s="6">
        <v>2905310000</v>
      </c>
      <c r="C299" s="6" t="s">
        <v>278</v>
      </c>
      <c r="D299" s="7">
        <v>342727.8</v>
      </c>
      <c r="E299" s="7">
        <v>354271.4</v>
      </c>
      <c r="F299" s="8">
        <f t="shared" si="4"/>
        <v>11543.600000000035</v>
      </c>
      <c r="G299" t="str">
        <f>IF(표1[[#This Row],[diff]]&gt;0,"import","export")</f>
        <v>import</v>
      </c>
    </row>
    <row r="300" spans="1:7" x14ac:dyDescent="0.3">
      <c r="A300" s="6">
        <v>2021</v>
      </c>
      <c r="B300" s="6">
        <v>2905320000</v>
      </c>
      <c r="C300" s="6" t="s">
        <v>279</v>
      </c>
      <c r="D300" s="7">
        <v>121787.8</v>
      </c>
      <c r="E300" s="7">
        <v>10099.200000000001</v>
      </c>
      <c r="F300" s="8">
        <f t="shared" si="4"/>
        <v>-111688.6</v>
      </c>
      <c r="G300" t="str">
        <f>IF(표1[[#This Row],[diff]]&gt;0,"import","export")</f>
        <v>export</v>
      </c>
    </row>
    <row r="301" spans="1:7" x14ac:dyDescent="0.3">
      <c r="A301" s="6">
        <v>2021</v>
      </c>
      <c r="B301" s="6">
        <v>2907111000</v>
      </c>
      <c r="C301" s="6" t="s">
        <v>280</v>
      </c>
      <c r="D301" s="7">
        <v>281661.5</v>
      </c>
      <c r="E301" s="7">
        <v>44720.800000000003</v>
      </c>
      <c r="F301" s="8">
        <f t="shared" si="4"/>
        <v>-236940.7</v>
      </c>
      <c r="G301" t="str">
        <f>IF(표1[[#This Row],[diff]]&gt;0,"import","export")</f>
        <v>export</v>
      </c>
    </row>
    <row r="302" spans="1:7" x14ac:dyDescent="0.3">
      <c r="A302" s="6">
        <v>2021</v>
      </c>
      <c r="B302" s="6">
        <v>2907231000</v>
      </c>
      <c r="C302" s="6" t="s">
        <v>281</v>
      </c>
      <c r="D302" s="7">
        <v>286227</v>
      </c>
      <c r="E302" s="7">
        <v>117550.3</v>
      </c>
      <c r="F302" s="8">
        <f t="shared" si="4"/>
        <v>-168676.7</v>
      </c>
      <c r="G302" t="str">
        <f>IF(표1[[#This Row],[diff]]&gt;0,"import","export")</f>
        <v>export</v>
      </c>
    </row>
    <row r="303" spans="1:7" x14ac:dyDescent="0.3">
      <c r="A303" s="6">
        <v>2021</v>
      </c>
      <c r="B303" s="6">
        <v>2909192000</v>
      </c>
      <c r="C303" s="6" t="s">
        <v>282</v>
      </c>
      <c r="D303" s="7">
        <v>87689.1</v>
      </c>
      <c r="E303" s="7">
        <v>111996.5</v>
      </c>
      <c r="F303" s="8">
        <f t="shared" si="4"/>
        <v>24307.399999999994</v>
      </c>
      <c r="G303" t="str">
        <f>IF(표1[[#This Row],[diff]]&gt;0,"import","export")</f>
        <v>import</v>
      </c>
    </row>
    <row r="304" spans="1:7" x14ac:dyDescent="0.3">
      <c r="A304" s="6">
        <v>2021</v>
      </c>
      <c r="B304" s="6">
        <v>2910100000</v>
      </c>
      <c r="C304" s="6" t="s">
        <v>283</v>
      </c>
      <c r="D304" s="6">
        <v>344.9</v>
      </c>
      <c r="E304" s="6">
        <v>58</v>
      </c>
      <c r="F304" s="8">
        <f t="shared" si="4"/>
        <v>-286.89999999999998</v>
      </c>
      <c r="G304" t="str">
        <f>IF(표1[[#This Row],[diff]]&gt;0,"import","export")</f>
        <v>export</v>
      </c>
    </row>
    <row r="305" spans="1:7" x14ac:dyDescent="0.3">
      <c r="A305" s="6">
        <v>2021</v>
      </c>
      <c r="B305" s="6">
        <v>2910200000</v>
      </c>
      <c r="C305" s="6" t="s">
        <v>284</v>
      </c>
      <c r="D305" s="7">
        <v>117449.60000000001</v>
      </c>
      <c r="E305" s="7">
        <v>61679.1</v>
      </c>
      <c r="F305" s="8">
        <f t="shared" si="4"/>
        <v>-55770.500000000007</v>
      </c>
      <c r="G305" t="str">
        <f>IF(표1[[#This Row],[diff]]&gt;0,"import","export")</f>
        <v>export</v>
      </c>
    </row>
    <row r="306" spans="1:7" x14ac:dyDescent="0.3">
      <c r="A306" s="6">
        <v>2021</v>
      </c>
      <c r="B306" s="6">
        <v>2912110000</v>
      </c>
      <c r="C306" s="6" t="s">
        <v>285</v>
      </c>
      <c r="D306" s="6">
        <v>44.3</v>
      </c>
      <c r="E306" s="6">
        <v>359.8</v>
      </c>
      <c r="F306" s="8">
        <f t="shared" si="4"/>
        <v>315.5</v>
      </c>
      <c r="G306" t="str">
        <f>IF(표1[[#This Row],[diff]]&gt;0,"import","export")</f>
        <v>import</v>
      </c>
    </row>
    <row r="307" spans="1:7" x14ac:dyDescent="0.3">
      <c r="A307" s="6">
        <v>2021</v>
      </c>
      <c r="B307" s="6">
        <v>2912120000</v>
      </c>
      <c r="C307" s="6" t="s">
        <v>286</v>
      </c>
      <c r="D307" s="6">
        <v>0</v>
      </c>
      <c r="E307" s="6">
        <v>19.3</v>
      </c>
      <c r="F307" s="8">
        <f t="shared" si="4"/>
        <v>19.3</v>
      </c>
      <c r="G307" t="str">
        <f>IF(표1[[#This Row],[diff]]&gt;0,"import","export")</f>
        <v>import</v>
      </c>
    </row>
    <row r="308" spans="1:7" x14ac:dyDescent="0.3">
      <c r="A308" s="6">
        <v>2021</v>
      </c>
      <c r="B308" s="6">
        <v>2912193000</v>
      </c>
      <c r="C308" s="6" t="s">
        <v>287</v>
      </c>
      <c r="D308" s="7">
        <v>1505</v>
      </c>
      <c r="E308" s="6">
        <v>991.9</v>
      </c>
      <c r="F308" s="8">
        <f t="shared" si="4"/>
        <v>-513.1</v>
      </c>
      <c r="G308" t="str">
        <f>IF(표1[[#This Row],[diff]]&gt;0,"import","export")</f>
        <v>export</v>
      </c>
    </row>
    <row r="309" spans="1:7" x14ac:dyDescent="0.3">
      <c r="A309" s="6">
        <v>2021</v>
      </c>
      <c r="B309" s="6">
        <v>2914110000</v>
      </c>
      <c r="C309" s="6" t="s">
        <v>288</v>
      </c>
      <c r="D309" s="7">
        <v>229139.4</v>
      </c>
      <c r="E309" s="7">
        <v>6970.7</v>
      </c>
      <c r="F309" s="8">
        <f t="shared" si="4"/>
        <v>-222168.69999999998</v>
      </c>
      <c r="G309" t="str">
        <f>IF(표1[[#This Row],[diff]]&gt;0,"import","export")</f>
        <v>export</v>
      </c>
    </row>
    <row r="310" spans="1:7" x14ac:dyDescent="0.3">
      <c r="A310" s="6">
        <v>2021</v>
      </c>
      <c r="B310" s="6">
        <v>2914221000</v>
      </c>
      <c r="C310" s="6" t="s">
        <v>289</v>
      </c>
      <c r="D310" s="6">
        <v>300.89999999999998</v>
      </c>
      <c r="E310" s="7">
        <v>13859</v>
      </c>
      <c r="F310" s="8">
        <f t="shared" si="4"/>
        <v>13558.1</v>
      </c>
      <c r="G310" t="str">
        <f>IF(표1[[#This Row],[diff]]&gt;0,"import","export")</f>
        <v>import</v>
      </c>
    </row>
    <row r="311" spans="1:7" x14ac:dyDescent="0.3">
      <c r="A311" s="6">
        <v>2021</v>
      </c>
      <c r="B311" s="6">
        <v>2915210000</v>
      </c>
      <c r="C311" s="6" t="s">
        <v>290</v>
      </c>
      <c r="D311" s="7">
        <v>110837.4</v>
      </c>
      <c r="E311" s="7">
        <v>107717.2</v>
      </c>
      <c r="F311" s="8">
        <f t="shared" si="4"/>
        <v>-3120.1999999999971</v>
      </c>
      <c r="G311" t="str">
        <f>IF(표1[[#This Row],[diff]]&gt;0,"import","export")</f>
        <v>export</v>
      </c>
    </row>
    <row r="312" spans="1:7" x14ac:dyDescent="0.3">
      <c r="A312" s="6">
        <v>2021</v>
      </c>
      <c r="B312" s="6">
        <v>2915320000</v>
      </c>
      <c r="C312" s="6" t="s">
        <v>291</v>
      </c>
      <c r="D312" s="7">
        <v>169625</v>
      </c>
      <c r="E312" s="7">
        <v>52447.6</v>
      </c>
      <c r="F312" s="8">
        <f t="shared" si="4"/>
        <v>-117177.4</v>
      </c>
      <c r="G312" t="str">
        <f>IF(표1[[#This Row],[diff]]&gt;0,"import","export")</f>
        <v>export</v>
      </c>
    </row>
    <row r="313" spans="1:7" x14ac:dyDescent="0.3">
      <c r="A313" s="6">
        <v>2021</v>
      </c>
      <c r="B313" s="6">
        <v>2916111000</v>
      </c>
      <c r="C313" s="6" t="s">
        <v>292</v>
      </c>
      <c r="D313" s="7">
        <v>22705.599999999999</v>
      </c>
      <c r="E313" s="7">
        <v>28537</v>
      </c>
      <c r="F313" s="8">
        <f t="shared" si="4"/>
        <v>5831.4000000000015</v>
      </c>
      <c r="G313" t="str">
        <f>IF(표1[[#This Row],[diff]]&gt;0,"import","export")</f>
        <v>import</v>
      </c>
    </row>
    <row r="314" spans="1:7" x14ac:dyDescent="0.3">
      <c r="A314" s="6">
        <v>2021</v>
      </c>
      <c r="B314" s="6">
        <v>2916121000</v>
      </c>
      <c r="C314" s="6" t="s">
        <v>293</v>
      </c>
      <c r="D314" s="7">
        <v>9342.7000000000007</v>
      </c>
      <c r="E314" s="7">
        <v>8195.1</v>
      </c>
      <c r="F314" s="8">
        <f t="shared" si="4"/>
        <v>-1147.6000000000004</v>
      </c>
      <c r="G314" t="str">
        <f>IF(표1[[#This Row],[diff]]&gt;0,"import","export")</f>
        <v>export</v>
      </c>
    </row>
    <row r="315" spans="1:7" x14ac:dyDescent="0.3">
      <c r="A315" s="6">
        <v>2021</v>
      </c>
      <c r="B315" s="6">
        <v>2916141000</v>
      </c>
      <c r="C315" s="6" t="s">
        <v>294</v>
      </c>
      <c r="D315" s="7">
        <v>22512.1</v>
      </c>
      <c r="E315" s="7">
        <v>42182.7</v>
      </c>
      <c r="F315" s="8">
        <f t="shared" si="4"/>
        <v>19670.599999999999</v>
      </c>
      <c r="G315" t="str">
        <f>IF(표1[[#This Row],[diff]]&gt;0,"import","export")</f>
        <v>import</v>
      </c>
    </row>
    <row r="316" spans="1:7" x14ac:dyDescent="0.3">
      <c r="A316" s="6">
        <v>2021</v>
      </c>
      <c r="B316" s="6">
        <v>2917140000</v>
      </c>
      <c r="C316" s="6" t="s">
        <v>295</v>
      </c>
      <c r="D316" s="7">
        <v>36199.300000000003</v>
      </c>
      <c r="E316" s="7">
        <v>3848.4</v>
      </c>
      <c r="F316" s="8">
        <f t="shared" si="4"/>
        <v>-32350.9</v>
      </c>
      <c r="G316" t="str">
        <f>IF(표1[[#This Row],[diff]]&gt;0,"import","export")</f>
        <v>export</v>
      </c>
    </row>
    <row r="317" spans="1:7" x14ac:dyDescent="0.3">
      <c r="A317" s="6">
        <v>2021</v>
      </c>
      <c r="B317" s="6">
        <v>2917350000</v>
      </c>
      <c r="C317" s="6" t="s">
        <v>296</v>
      </c>
      <c r="D317" s="7">
        <v>169423.7</v>
      </c>
      <c r="E317" s="6">
        <v>34</v>
      </c>
      <c r="F317" s="8">
        <f t="shared" si="4"/>
        <v>-169389.7</v>
      </c>
      <c r="G317" t="str">
        <f>IF(표1[[#This Row],[diff]]&gt;0,"import","export")</f>
        <v>export</v>
      </c>
    </row>
    <row r="318" spans="1:7" x14ac:dyDescent="0.3">
      <c r="A318" s="6">
        <v>2021</v>
      </c>
      <c r="B318" s="6">
        <v>2917361000</v>
      </c>
      <c r="C318" s="6" t="s">
        <v>297</v>
      </c>
      <c r="D318" s="7">
        <v>1412534.1</v>
      </c>
      <c r="E318" s="6">
        <v>176.2</v>
      </c>
      <c r="F318" s="8">
        <f t="shared" si="4"/>
        <v>-1412357.9000000001</v>
      </c>
      <c r="G318" t="str">
        <f>IF(표1[[#This Row],[diff]]&gt;0,"import","export")</f>
        <v>export</v>
      </c>
    </row>
    <row r="319" spans="1:7" x14ac:dyDescent="0.3">
      <c r="A319" s="6">
        <v>2021</v>
      </c>
      <c r="B319" s="6">
        <v>2917370000</v>
      </c>
      <c r="C319" s="6" t="s">
        <v>298</v>
      </c>
      <c r="D319" s="7">
        <v>45854.3</v>
      </c>
      <c r="E319" s="6">
        <v>359.7</v>
      </c>
      <c r="F319" s="8">
        <f t="shared" si="4"/>
        <v>-45494.600000000006</v>
      </c>
      <c r="G319" t="str">
        <f>IF(표1[[#This Row],[diff]]&gt;0,"import","export")</f>
        <v>export</v>
      </c>
    </row>
    <row r="320" spans="1:7" x14ac:dyDescent="0.3">
      <c r="A320" s="6">
        <v>2021</v>
      </c>
      <c r="B320" s="6">
        <v>2921411000</v>
      </c>
      <c r="C320" s="6" t="s">
        <v>299</v>
      </c>
      <c r="D320" s="6">
        <v>689.8</v>
      </c>
      <c r="E320" s="7">
        <v>9977.7000000000007</v>
      </c>
      <c r="F320" s="8">
        <f t="shared" si="4"/>
        <v>9287.9000000000015</v>
      </c>
      <c r="G320" t="str">
        <f>IF(표1[[#This Row],[diff]]&gt;0,"import","export")</f>
        <v>import</v>
      </c>
    </row>
    <row r="321" spans="1:7" x14ac:dyDescent="0.3">
      <c r="A321" s="6">
        <v>2021</v>
      </c>
      <c r="B321" s="6">
        <v>2922111000</v>
      </c>
      <c r="C321" s="6" t="s">
        <v>300</v>
      </c>
      <c r="D321" s="6">
        <v>676.6</v>
      </c>
      <c r="E321" s="7">
        <v>7180.1</v>
      </c>
      <c r="F321" s="8">
        <f t="shared" si="4"/>
        <v>6503.5</v>
      </c>
      <c r="G321" t="str">
        <f>IF(표1[[#This Row],[diff]]&gt;0,"import","export")</f>
        <v>import</v>
      </c>
    </row>
    <row r="322" spans="1:7" x14ac:dyDescent="0.3">
      <c r="A322" s="6">
        <v>2021</v>
      </c>
      <c r="B322" s="6">
        <v>2922121000</v>
      </c>
      <c r="C322" s="6" t="s">
        <v>301</v>
      </c>
      <c r="D322" s="7">
        <v>1154.7</v>
      </c>
      <c r="E322" s="7">
        <v>3971.7</v>
      </c>
      <c r="F322" s="8">
        <f t="shared" si="4"/>
        <v>2817</v>
      </c>
      <c r="G322" t="str">
        <f>IF(표1[[#This Row],[diff]]&gt;0,"import","export")</f>
        <v>import</v>
      </c>
    </row>
    <row r="323" spans="1:7" x14ac:dyDescent="0.3">
      <c r="A323" s="6">
        <v>2021</v>
      </c>
      <c r="B323" s="6">
        <v>2922150000</v>
      </c>
      <c r="C323" s="6" t="s">
        <v>302</v>
      </c>
      <c r="D323" s="7">
        <v>1664.7</v>
      </c>
      <c r="E323" s="7">
        <v>9986.7999999999993</v>
      </c>
      <c r="F323" s="8">
        <f t="shared" ref="F323:F386" si="5">E323-D323</f>
        <v>8322.0999999999985</v>
      </c>
      <c r="G323" t="str">
        <f>IF(표1[[#This Row],[diff]]&gt;0,"import","export")</f>
        <v>import</v>
      </c>
    </row>
    <row r="324" spans="1:7" x14ac:dyDescent="0.3">
      <c r="A324" s="6">
        <v>2021</v>
      </c>
      <c r="B324" s="6">
        <v>2926100000</v>
      </c>
      <c r="C324" s="6" t="s">
        <v>303</v>
      </c>
      <c r="D324" s="7">
        <v>262081.9</v>
      </c>
      <c r="E324" s="7">
        <v>216038.7</v>
      </c>
      <c r="F324" s="8">
        <f t="shared" si="5"/>
        <v>-46043.199999999983</v>
      </c>
      <c r="G324" t="str">
        <f>IF(표1[[#This Row],[diff]]&gt;0,"import","export")</f>
        <v>export</v>
      </c>
    </row>
    <row r="325" spans="1:7" x14ac:dyDescent="0.3">
      <c r="A325" s="6">
        <v>2021</v>
      </c>
      <c r="B325" s="6">
        <v>2929101000</v>
      </c>
      <c r="C325" s="6" t="s">
        <v>304</v>
      </c>
      <c r="D325" s="7">
        <v>233260.9</v>
      </c>
      <c r="E325" s="7">
        <v>2153.1</v>
      </c>
      <c r="F325" s="8">
        <f t="shared" si="5"/>
        <v>-231107.8</v>
      </c>
      <c r="G325" t="str">
        <f>IF(표1[[#This Row],[diff]]&gt;0,"import","export")</f>
        <v>export</v>
      </c>
    </row>
    <row r="326" spans="1:7" x14ac:dyDescent="0.3">
      <c r="A326" s="6">
        <v>2021</v>
      </c>
      <c r="B326" s="6">
        <v>2929102000</v>
      </c>
      <c r="C326" s="6" t="s">
        <v>305</v>
      </c>
      <c r="D326" s="7">
        <v>101744.7</v>
      </c>
      <c r="E326" s="7">
        <v>1494.9</v>
      </c>
      <c r="F326" s="8">
        <f t="shared" si="5"/>
        <v>-100249.8</v>
      </c>
      <c r="G326" t="str">
        <f>IF(표1[[#This Row],[diff]]&gt;0,"import","export")</f>
        <v>export</v>
      </c>
    </row>
    <row r="327" spans="1:7" x14ac:dyDescent="0.3">
      <c r="A327" s="6">
        <v>2021</v>
      </c>
      <c r="B327" s="6">
        <v>2933710000</v>
      </c>
      <c r="C327" s="6" t="s">
        <v>306</v>
      </c>
      <c r="D327" s="7">
        <v>41425</v>
      </c>
      <c r="E327" s="7">
        <v>19447.7</v>
      </c>
      <c r="F327" s="8">
        <f t="shared" si="5"/>
        <v>-21977.3</v>
      </c>
      <c r="G327" t="str">
        <f>IF(표1[[#This Row],[diff]]&gt;0,"import","export")</f>
        <v>export</v>
      </c>
    </row>
    <row r="328" spans="1:7" x14ac:dyDescent="0.3">
      <c r="A328" s="6">
        <v>2021</v>
      </c>
      <c r="B328" s="6">
        <v>3901101000</v>
      </c>
      <c r="C328" s="6" t="s">
        <v>307</v>
      </c>
      <c r="D328" s="7">
        <v>468172.5</v>
      </c>
      <c r="E328" s="7">
        <v>37919.5</v>
      </c>
      <c r="F328" s="8">
        <f t="shared" si="5"/>
        <v>-430253</v>
      </c>
      <c r="G328" t="str">
        <f>IF(표1[[#This Row],[diff]]&gt;0,"import","export")</f>
        <v>export</v>
      </c>
    </row>
    <row r="329" spans="1:7" x14ac:dyDescent="0.3">
      <c r="A329" s="6">
        <v>2021</v>
      </c>
      <c r="B329" s="6">
        <v>3902100000</v>
      </c>
      <c r="C329" s="6" t="s">
        <v>308</v>
      </c>
      <c r="D329" s="7">
        <v>2040691.3</v>
      </c>
      <c r="E329" s="7">
        <v>15319</v>
      </c>
      <c r="F329" s="8">
        <f t="shared" si="5"/>
        <v>-2025372.3</v>
      </c>
      <c r="G329" t="str">
        <f>IF(표1[[#This Row],[diff]]&gt;0,"import","export")</f>
        <v>export</v>
      </c>
    </row>
    <row r="330" spans="1:7" x14ac:dyDescent="0.3">
      <c r="A330" s="6">
        <v>2021</v>
      </c>
      <c r="B330" s="6">
        <v>3902200000</v>
      </c>
      <c r="C330" s="6" t="s">
        <v>309</v>
      </c>
      <c r="D330" s="7">
        <v>194268.3</v>
      </c>
      <c r="E330" s="7">
        <v>1256.3</v>
      </c>
      <c r="F330" s="8">
        <f t="shared" si="5"/>
        <v>-193012</v>
      </c>
      <c r="G330" t="str">
        <f>IF(표1[[#This Row],[diff]]&gt;0,"import","export")</f>
        <v>export</v>
      </c>
    </row>
    <row r="331" spans="1:7" x14ac:dyDescent="0.3">
      <c r="A331" s="6">
        <v>2021</v>
      </c>
      <c r="B331" s="6">
        <v>3903200000</v>
      </c>
      <c r="C331" s="6" t="s">
        <v>310</v>
      </c>
      <c r="D331" s="7">
        <v>208849.9</v>
      </c>
      <c r="E331" s="7">
        <v>10862.3</v>
      </c>
      <c r="F331" s="8">
        <f t="shared" si="5"/>
        <v>-197987.6</v>
      </c>
      <c r="G331" t="str">
        <f>IF(표1[[#This Row],[diff]]&gt;0,"import","export")</f>
        <v>export</v>
      </c>
    </row>
    <row r="332" spans="1:7" x14ac:dyDescent="0.3">
      <c r="A332" s="6">
        <v>2021</v>
      </c>
      <c r="B332" s="6">
        <v>3903300000</v>
      </c>
      <c r="C332" s="6" t="s">
        <v>311</v>
      </c>
      <c r="D332" s="7">
        <v>1260171.3</v>
      </c>
      <c r="E332" s="7">
        <v>14562.9</v>
      </c>
      <c r="F332" s="8">
        <f t="shared" si="5"/>
        <v>-1245608.4000000001</v>
      </c>
      <c r="G332" t="str">
        <f>IF(표1[[#This Row],[diff]]&gt;0,"import","export")</f>
        <v>export</v>
      </c>
    </row>
    <row r="333" spans="1:7" x14ac:dyDescent="0.3">
      <c r="A333" s="6">
        <v>2021</v>
      </c>
      <c r="B333" s="6">
        <v>3903901000</v>
      </c>
      <c r="C333" s="6" t="s">
        <v>312</v>
      </c>
      <c r="D333" s="7">
        <v>276885.40000000002</v>
      </c>
      <c r="E333" s="7">
        <v>6500.2</v>
      </c>
      <c r="F333" s="8">
        <f t="shared" si="5"/>
        <v>-270385.2</v>
      </c>
      <c r="G333" t="str">
        <f>IF(표1[[#This Row],[diff]]&gt;0,"import","export")</f>
        <v>export</v>
      </c>
    </row>
    <row r="334" spans="1:7" x14ac:dyDescent="0.3">
      <c r="A334" s="6">
        <v>2021</v>
      </c>
      <c r="B334" s="6">
        <v>3906100000</v>
      </c>
      <c r="C334" s="6" t="s">
        <v>313</v>
      </c>
      <c r="D334" s="7">
        <v>136300.5</v>
      </c>
      <c r="E334" s="7">
        <v>5152.6000000000004</v>
      </c>
      <c r="F334" s="8">
        <f t="shared" si="5"/>
        <v>-131147.9</v>
      </c>
      <c r="G334" t="str">
        <f>IF(표1[[#This Row],[diff]]&gt;0,"import","export")</f>
        <v>export</v>
      </c>
    </row>
    <row r="335" spans="1:7" x14ac:dyDescent="0.3">
      <c r="A335" s="6">
        <v>2021</v>
      </c>
      <c r="B335" s="6">
        <v>3907400000</v>
      </c>
      <c r="C335" s="6" t="s">
        <v>314</v>
      </c>
      <c r="D335" s="7">
        <v>696550.2</v>
      </c>
      <c r="E335" s="7">
        <v>73327.399999999994</v>
      </c>
      <c r="F335" s="8">
        <f t="shared" si="5"/>
        <v>-623222.79999999993</v>
      </c>
      <c r="G335" t="str">
        <f>IF(표1[[#This Row],[diff]]&gt;0,"import","export")</f>
        <v>export</v>
      </c>
    </row>
    <row r="336" spans="1:7" x14ac:dyDescent="0.3">
      <c r="A336" s="6">
        <v>2021</v>
      </c>
      <c r="B336" s="6">
        <v>3909500000</v>
      </c>
      <c r="C336" s="6" t="s">
        <v>315</v>
      </c>
      <c r="D336" s="7">
        <v>85707.6</v>
      </c>
      <c r="E336" s="7">
        <v>31971.5</v>
      </c>
      <c r="F336" s="8">
        <f t="shared" si="5"/>
        <v>-53736.100000000006</v>
      </c>
      <c r="G336" t="str">
        <f>IF(표1[[#This Row],[diff]]&gt;0,"import","export")</f>
        <v>export</v>
      </c>
    </row>
    <row r="337" spans="1:7" x14ac:dyDescent="0.3">
      <c r="A337" s="6">
        <v>2022</v>
      </c>
      <c r="B337" s="6">
        <v>2207200000</v>
      </c>
      <c r="C337" s="6" t="s">
        <v>331</v>
      </c>
      <c r="D337" s="7">
        <v>21512.400000000001</v>
      </c>
      <c r="E337" s="7">
        <v>247954.5</v>
      </c>
      <c r="F337" s="8">
        <f t="shared" si="5"/>
        <v>226442.1</v>
      </c>
      <c r="G337" t="str">
        <f>IF(표1[[#This Row],[diff]]&gt;0,"import","export")</f>
        <v>import</v>
      </c>
    </row>
    <row r="338" spans="1:7" x14ac:dyDescent="0.3">
      <c r="A338" s="6">
        <v>2022</v>
      </c>
      <c r="B338" s="6">
        <v>2901291000</v>
      </c>
      <c r="C338" s="6" t="s">
        <v>261</v>
      </c>
      <c r="D338" s="6">
        <v>0.1</v>
      </c>
      <c r="E338" s="7">
        <v>60866.5</v>
      </c>
      <c r="F338" s="8">
        <f t="shared" si="5"/>
        <v>60866.400000000001</v>
      </c>
      <c r="G338" t="str">
        <f>IF(표1[[#This Row],[diff]]&gt;0,"import","export")</f>
        <v>import</v>
      </c>
    </row>
    <row r="339" spans="1:7" x14ac:dyDescent="0.3">
      <c r="A339" s="6">
        <v>2022</v>
      </c>
      <c r="B339" s="6">
        <v>2901292000</v>
      </c>
      <c r="C339" s="6" t="s">
        <v>262</v>
      </c>
      <c r="D339" s="6">
        <v>147.5</v>
      </c>
      <c r="E339" s="7">
        <v>111144.3</v>
      </c>
      <c r="F339" s="8">
        <f t="shared" si="5"/>
        <v>110996.8</v>
      </c>
      <c r="G339" t="str">
        <f>IF(표1[[#This Row],[diff]]&gt;0,"import","export")</f>
        <v>import</v>
      </c>
    </row>
    <row r="340" spans="1:7" x14ac:dyDescent="0.3">
      <c r="A340" s="6">
        <v>2022</v>
      </c>
      <c r="B340" s="6">
        <v>2902110000</v>
      </c>
      <c r="C340" s="6" t="s">
        <v>263</v>
      </c>
      <c r="D340" s="7">
        <v>5571.9</v>
      </c>
      <c r="E340" s="7">
        <v>21040.5</v>
      </c>
      <c r="F340" s="8">
        <f t="shared" si="5"/>
        <v>15468.6</v>
      </c>
      <c r="G340" t="str">
        <f>IF(표1[[#This Row],[diff]]&gt;0,"import","export")</f>
        <v>import</v>
      </c>
    </row>
    <row r="341" spans="1:7" x14ac:dyDescent="0.3">
      <c r="A341" s="6">
        <v>2022</v>
      </c>
      <c r="B341" s="6">
        <v>2902200000</v>
      </c>
      <c r="C341" s="6" t="s">
        <v>264</v>
      </c>
      <c r="D341" s="7">
        <v>2568608.7000000002</v>
      </c>
      <c r="E341" s="7">
        <v>62920.6</v>
      </c>
      <c r="F341" s="8">
        <f t="shared" si="5"/>
        <v>-2505688.1</v>
      </c>
      <c r="G341" t="str">
        <f>IF(표1[[#This Row],[diff]]&gt;0,"import","export")</f>
        <v>export</v>
      </c>
    </row>
    <row r="342" spans="1:7" x14ac:dyDescent="0.3">
      <c r="A342" s="6">
        <v>2022</v>
      </c>
      <c r="B342" s="6">
        <v>2902300000</v>
      </c>
      <c r="C342" s="6" t="s">
        <v>265</v>
      </c>
      <c r="D342" s="7">
        <v>504149.4</v>
      </c>
      <c r="E342" s="7">
        <v>603465.4</v>
      </c>
      <c r="F342" s="8">
        <f t="shared" si="5"/>
        <v>99316</v>
      </c>
      <c r="G342" t="str">
        <f>IF(표1[[#This Row],[diff]]&gt;0,"import","export")</f>
        <v>import</v>
      </c>
    </row>
    <row r="343" spans="1:7" x14ac:dyDescent="0.3">
      <c r="A343" s="6">
        <v>2022</v>
      </c>
      <c r="B343" s="6">
        <v>2902410000</v>
      </c>
      <c r="C343" s="6" t="s">
        <v>266</v>
      </c>
      <c r="D343" s="7">
        <v>86293.2</v>
      </c>
      <c r="E343" s="7">
        <v>5984.5</v>
      </c>
      <c r="F343" s="8">
        <f t="shared" si="5"/>
        <v>-80308.7</v>
      </c>
      <c r="G343" t="str">
        <f>IF(표1[[#This Row],[diff]]&gt;0,"import","export")</f>
        <v>export</v>
      </c>
    </row>
    <row r="344" spans="1:7" x14ac:dyDescent="0.3">
      <c r="A344" s="6">
        <v>2022</v>
      </c>
      <c r="B344" s="6">
        <v>2902420000</v>
      </c>
      <c r="C344" s="6" t="s">
        <v>267</v>
      </c>
      <c r="D344" s="7">
        <v>6845.2</v>
      </c>
      <c r="E344" s="7">
        <v>13580.7</v>
      </c>
      <c r="F344" s="8">
        <f t="shared" si="5"/>
        <v>6735.5000000000009</v>
      </c>
      <c r="G344" t="str">
        <f>IF(표1[[#This Row],[diff]]&gt;0,"import","export")</f>
        <v>import</v>
      </c>
    </row>
    <row r="345" spans="1:7" x14ac:dyDescent="0.3">
      <c r="A345" s="6">
        <v>2022</v>
      </c>
      <c r="B345" s="6">
        <v>2902430000</v>
      </c>
      <c r="C345" s="6" t="s">
        <v>268</v>
      </c>
      <c r="D345" s="7">
        <v>5252790.7</v>
      </c>
      <c r="E345" s="7">
        <v>29015.8</v>
      </c>
      <c r="F345" s="8">
        <f t="shared" si="5"/>
        <v>-5223774.9000000004</v>
      </c>
      <c r="G345" t="str">
        <f>IF(표1[[#This Row],[diff]]&gt;0,"import","export")</f>
        <v>export</v>
      </c>
    </row>
    <row r="346" spans="1:7" x14ac:dyDescent="0.3">
      <c r="A346" s="6">
        <v>2022</v>
      </c>
      <c r="B346" s="6">
        <v>2902500000</v>
      </c>
      <c r="C346" s="6" t="s">
        <v>269</v>
      </c>
      <c r="D346" s="7">
        <v>558108.19999999995</v>
      </c>
      <c r="E346" s="7">
        <v>478635.2</v>
      </c>
      <c r="F346" s="8">
        <f t="shared" si="5"/>
        <v>-79472.999999999942</v>
      </c>
      <c r="G346" t="str">
        <f>IF(표1[[#This Row],[diff]]&gt;0,"import","export")</f>
        <v>export</v>
      </c>
    </row>
    <row r="347" spans="1:7" x14ac:dyDescent="0.3">
      <c r="A347" s="6">
        <v>2022</v>
      </c>
      <c r="B347" s="6">
        <v>2902600000</v>
      </c>
      <c r="C347" s="6" t="s">
        <v>270</v>
      </c>
      <c r="D347" s="6">
        <v>53.1</v>
      </c>
      <c r="E347" s="6">
        <v>35.299999999999997</v>
      </c>
      <c r="F347" s="8">
        <f t="shared" si="5"/>
        <v>-17.800000000000004</v>
      </c>
      <c r="G347" t="str">
        <f>IF(표1[[#This Row],[diff]]&gt;0,"import","export")</f>
        <v>export</v>
      </c>
    </row>
    <row r="348" spans="1:7" x14ac:dyDescent="0.3">
      <c r="A348" s="6">
        <v>2022</v>
      </c>
      <c r="B348" s="6">
        <v>2902700000</v>
      </c>
      <c r="C348" s="6" t="s">
        <v>271</v>
      </c>
      <c r="D348" s="7">
        <v>5778.5</v>
      </c>
      <c r="E348" s="7">
        <v>8134.7</v>
      </c>
      <c r="F348" s="8">
        <f t="shared" si="5"/>
        <v>2356.1999999999998</v>
      </c>
      <c r="G348" t="str">
        <f>IF(표1[[#This Row],[diff]]&gt;0,"import","export")</f>
        <v>import</v>
      </c>
    </row>
    <row r="349" spans="1:7" x14ac:dyDescent="0.3">
      <c r="A349" s="6">
        <v>2022</v>
      </c>
      <c r="B349" s="6">
        <v>2903150000</v>
      </c>
      <c r="C349" s="6" t="s">
        <v>272</v>
      </c>
      <c r="D349" s="7">
        <v>301383.7</v>
      </c>
      <c r="E349" s="7">
        <v>34516.400000000001</v>
      </c>
      <c r="F349" s="8">
        <f t="shared" si="5"/>
        <v>-266867.3</v>
      </c>
      <c r="G349" t="str">
        <f>IF(표1[[#This Row],[diff]]&gt;0,"import","export")</f>
        <v>export</v>
      </c>
    </row>
    <row r="350" spans="1:7" x14ac:dyDescent="0.3">
      <c r="A350" s="6">
        <v>2022</v>
      </c>
      <c r="B350" s="6">
        <v>2903210000</v>
      </c>
      <c r="C350" s="6" t="s">
        <v>273</v>
      </c>
      <c r="D350" s="7">
        <v>149623.29999999999</v>
      </c>
      <c r="E350" s="7">
        <v>88374</v>
      </c>
      <c r="F350" s="8">
        <f t="shared" si="5"/>
        <v>-61249.299999999988</v>
      </c>
      <c r="G350" t="str">
        <f>IF(표1[[#This Row],[diff]]&gt;0,"import","export")</f>
        <v>export</v>
      </c>
    </row>
    <row r="351" spans="1:7" x14ac:dyDescent="0.3">
      <c r="A351" s="6">
        <v>2022</v>
      </c>
      <c r="B351" s="6">
        <v>2905110000</v>
      </c>
      <c r="C351" s="6" t="s">
        <v>274</v>
      </c>
      <c r="D351" s="6">
        <v>983.3</v>
      </c>
      <c r="E351" s="7">
        <v>2047431.2</v>
      </c>
      <c r="F351" s="8">
        <f t="shared" si="5"/>
        <v>2046447.9</v>
      </c>
      <c r="G351" t="str">
        <f>IF(표1[[#This Row],[diff]]&gt;0,"import","export")</f>
        <v>import</v>
      </c>
    </row>
    <row r="352" spans="1:7" x14ac:dyDescent="0.3">
      <c r="A352" s="6">
        <v>2022</v>
      </c>
      <c r="B352" s="6">
        <v>2905121000</v>
      </c>
      <c r="C352" s="6" t="s">
        <v>275</v>
      </c>
      <c r="D352" s="6">
        <v>515.6</v>
      </c>
      <c r="E352" s="7">
        <v>2426.6999999999998</v>
      </c>
      <c r="F352" s="8">
        <f t="shared" si="5"/>
        <v>1911.1</v>
      </c>
      <c r="G352" t="str">
        <f>IF(표1[[#This Row],[diff]]&gt;0,"import","export")</f>
        <v>import</v>
      </c>
    </row>
    <row r="353" spans="1:7" x14ac:dyDescent="0.3">
      <c r="A353" s="6">
        <v>2022</v>
      </c>
      <c r="B353" s="6">
        <v>2905130000</v>
      </c>
      <c r="C353" s="6" t="s">
        <v>276</v>
      </c>
      <c r="D353" s="6">
        <v>110.1</v>
      </c>
      <c r="E353" s="7">
        <v>52201.2</v>
      </c>
      <c r="F353" s="8">
        <f t="shared" si="5"/>
        <v>52091.1</v>
      </c>
      <c r="G353" t="str">
        <f>IF(표1[[#This Row],[diff]]&gt;0,"import","export")</f>
        <v>import</v>
      </c>
    </row>
    <row r="354" spans="1:7" x14ac:dyDescent="0.3">
      <c r="A354" s="6">
        <v>2022</v>
      </c>
      <c r="B354" s="6">
        <v>2905161000</v>
      </c>
      <c r="C354" s="6" t="s">
        <v>277</v>
      </c>
      <c r="D354" s="7">
        <v>89003.4</v>
      </c>
      <c r="E354" s="7">
        <v>29010.7</v>
      </c>
      <c r="F354" s="8">
        <f t="shared" si="5"/>
        <v>-59992.7</v>
      </c>
      <c r="G354" t="str">
        <f>IF(표1[[#This Row],[diff]]&gt;0,"import","export")</f>
        <v>export</v>
      </c>
    </row>
    <row r="355" spans="1:7" x14ac:dyDescent="0.3">
      <c r="A355" s="6">
        <v>2022</v>
      </c>
      <c r="B355" s="6">
        <v>2905310000</v>
      </c>
      <c r="C355" s="6" t="s">
        <v>278</v>
      </c>
      <c r="D355" s="7">
        <v>181065.4</v>
      </c>
      <c r="E355" s="7">
        <v>280094.3</v>
      </c>
      <c r="F355" s="8">
        <f t="shared" si="5"/>
        <v>99028.9</v>
      </c>
      <c r="G355" t="str">
        <f>IF(표1[[#This Row],[diff]]&gt;0,"import","export")</f>
        <v>import</v>
      </c>
    </row>
    <row r="356" spans="1:7" x14ac:dyDescent="0.3">
      <c r="A356" s="6">
        <v>2022</v>
      </c>
      <c r="B356" s="6">
        <v>2905320000</v>
      </c>
      <c r="C356" s="6" t="s">
        <v>279</v>
      </c>
      <c r="D356" s="7">
        <v>104831.2</v>
      </c>
      <c r="E356" s="7">
        <v>10711.9</v>
      </c>
      <c r="F356" s="8">
        <f t="shared" si="5"/>
        <v>-94119.3</v>
      </c>
      <c r="G356" t="str">
        <f>IF(표1[[#This Row],[diff]]&gt;0,"import","export")</f>
        <v>export</v>
      </c>
    </row>
    <row r="357" spans="1:7" x14ac:dyDescent="0.3">
      <c r="A357" s="6">
        <v>2022</v>
      </c>
      <c r="B357" s="6">
        <v>2907111000</v>
      </c>
      <c r="C357" s="6" t="s">
        <v>280</v>
      </c>
      <c r="D357" s="7">
        <v>232764.7</v>
      </c>
      <c r="E357" s="7">
        <v>32502.7</v>
      </c>
      <c r="F357" s="8">
        <f t="shared" si="5"/>
        <v>-200262</v>
      </c>
      <c r="G357" t="str">
        <f>IF(표1[[#This Row],[diff]]&gt;0,"import","export")</f>
        <v>export</v>
      </c>
    </row>
    <row r="358" spans="1:7" x14ac:dyDescent="0.3">
      <c r="A358" s="6">
        <v>2022</v>
      </c>
      <c r="B358" s="6">
        <v>2907231000</v>
      </c>
      <c r="C358" s="6" t="s">
        <v>281</v>
      </c>
      <c r="D358" s="7">
        <v>265934.90000000002</v>
      </c>
      <c r="E358" s="7">
        <v>101050.4</v>
      </c>
      <c r="F358" s="8">
        <f t="shared" si="5"/>
        <v>-164884.50000000003</v>
      </c>
      <c r="G358" t="str">
        <f>IF(표1[[#This Row],[diff]]&gt;0,"import","export")</f>
        <v>export</v>
      </c>
    </row>
    <row r="359" spans="1:7" x14ac:dyDescent="0.3">
      <c r="A359" s="6">
        <v>2022</v>
      </c>
      <c r="B359" s="6">
        <v>2909192000</v>
      </c>
      <c r="C359" s="6" t="s">
        <v>282</v>
      </c>
      <c r="D359" s="7">
        <v>124816</v>
      </c>
      <c r="E359" s="7">
        <v>20493.2</v>
      </c>
      <c r="F359" s="8">
        <f t="shared" si="5"/>
        <v>-104322.8</v>
      </c>
      <c r="G359" t="str">
        <f>IF(표1[[#This Row],[diff]]&gt;0,"import","export")</f>
        <v>export</v>
      </c>
    </row>
    <row r="360" spans="1:7" x14ac:dyDescent="0.3">
      <c r="A360" s="6">
        <v>2022</v>
      </c>
      <c r="B360" s="6">
        <v>2910100000</v>
      </c>
      <c r="C360" s="6" t="s">
        <v>283</v>
      </c>
      <c r="D360" s="6">
        <v>201.7</v>
      </c>
      <c r="E360" s="6">
        <v>58.9</v>
      </c>
      <c r="F360" s="8">
        <f t="shared" si="5"/>
        <v>-142.79999999999998</v>
      </c>
      <c r="G360" t="str">
        <f>IF(표1[[#This Row],[diff]]&gt;0,"import","export")</f>
        <v>export</v>
      </c>
    </row>
    <row r="361" spans="1:7" x14ac:dyDescent="0.3">
      <c r="A361" s="6">
        <v>2022</v>
      </c>
      <c r="B361" s="6">
        <v>2910200000</v>
      </c>
      <c r="C361" s="6" t="s">
        <v>284</v>
      </c>
      <c r="D361" s="7">
        <v>66782.3</v>
      </c>
      <c r="E361" s="7">
        <v>49649.2</v>
      </c>
      <c r="F361" s="8">
        <f t="shared" si="5"/>
        <v>-17133.100000000006</v>
      </c>
      <c r="G361" t="str">
        <f>IF(표1[[#This Row],[diff]]&gt;0,"import","export")</f>
        <v>export</v>
      </c>
    </row>
    <row r="362" spans="1:7" x14ac:dyDescent="0.3">
      <c r="A362" s="6">
        <v>2022</v>
      </c>
      <c r="B362" s="6">
        <v>2912110000</v>
      </c>
      <c r="C362" s="6" t="s">
        <v>285</v>
      </c>
      <c r="D362" s="6">
        <v>32.200000000000003</v>
      </c>
      <c r="E362" s="6">
        <v>337.5</v>
      </c>
      <c r="F362" s="8">
        <f t="shared" si="5"/>
        <v>305.3</v>
      </c>
      <c r="G362" t="str">
        <f>IF(표1[[#This Row],[diff]]&gt;0,"import","export")</f>
        <v>import</v>
      </c>
    </row>
    <row r="363" spans="1:7" x14ac:dyDescent="0.3">
      <c r="A363" s="6">
        <v>2022</v>
      </c>
      <c r="B363" s="6">
        <v>2912120000</v>
      </c>
      <c r="C363" s="6" t="s">
        <v>286</v>
      </c>
      <c r="D363" s="6">
        <v>0.2</v>
      </c>
      <c r="E363" s="6">
        <v>29</v>
      </c>
      <c r="F363" s="8">
        <f t="shared" si="5"/>
        <v>28.8</v>
      </c>
      <c r="G363" t="str">
        <f>IF(표1[[#This Row],[diff]]&gt;0,"import","export")</f>
        <v>import</v>
      </c>
    </row>
    <row r="364" spans="1:7" x14ac:dyDescent="0.3">
      <c r="A364" s="6">
        <v>2022</v>
      </c>
      <c r="B364" s="6">
        <v>2912193000</v>
      </c>
      <c r="C364" s="6" t="s">
        <v>287</v>
      </c>
      <c r="D364" s="6">
        <v>0</v>
      </c>
      <c r="E364" s="7">
        <v>1183.4000000000001</v>
      </c>
      <c r="F364" s="8">
        <f t="shared" si="5"/>
        <v>1183.4000000000001</v>
      </c>
      <c r="G364" t="str">
        <f>IF(표1[[#This Row],[diff]]&gt;0,"import","export")</f>
        <v>import</v>
      </c>
    </row>
    <row r="365" spans="1:7" x14ac:dyDescent="0.3">
      <c r="A365" s="6">
        <v>2022</v>
      </c>
      <c r="B365" s="6">
        <v>2914110000</v>
      </c>
      <c r="C365" s="6" t="s">
        <v>288</v>
      </c>
      <c r="D365" s="7">
        <v>211042.2</v>
      </c>
      <c r="E365" s="6">
        <v>52.1</v>
      </c>
      <c r="F365" s="8">
        <f t="shared" si="5"/>
        <v>-210990.1</v>
      </c>
      <c r="G365" t="str">
        <f>IF(표1[[#This Row],[diff]]&gt;0,"import","export")</f>
        <v>export</v>
      </c>
    </row>
    <row r="366" spans="1:7" x14ac:dyDescent="0.3">
      <c r="A366" s="6">
        <v>2022</v>
      </c>
      <c r="B366" s="6">
        <v>2914221000</v>
      </c>
      <c r="C366" s="6" t="s">
        <v>289</v>
      </c>
      <c r="D366" s="7">
        <v>3430.5</v>
      </c>
      <c r="E366" s="7">
        <v>7691.6</v>
      </c>
      <c r="F366" s="8">
        <f t="shared" si="5"/>
        <v>4261.1000000000004</v>
      </c>
      <c r="G366" t="str">
        <f>IF(표1[[#This Row],[diff]]&gt;0,"import","export")</f>
        <v>import</v>
      </c>
    </row>
    <row r="367" spans="1:7" x14ac:dyDescent="0.3">
      <c r="A367" s="6">
        <v>2022</v>
      </c>
      <c r="B367" s="6">
        <v>2915210000</v>
      </c>
      <c r="C367" s="6" t="s">
        <v>290</v>
      </c>
      <c r="D367" s="7">
        <v>118879.5</v>
      </c>
      <c r="E367" s="7">
        <v>109782</v>
      </c>
      <c r="F367" s="8">
        <f t="shared" si="5"/>
        <v>-9097.5</v>
      </c>
      <c r="G367" t="str">
        <f>IF(표1[[#This Row],[diff]]&gt;0,"import","export")</f>
        <v>export</v>
      </c>
    </row>
    <row r="368" spans="1:7" x14ac:dyDescent="0.3">
      <c r="A368" s="6">
        <v>2022</v>
      </c>
      <c r="B368" s="6">
        <v>2915320000</v>
      </c>
      <c r="C368" s="6" t="s">
        <v>291</v>
      </c>
      <c r="D368" s="7">
        <v>90008.3</v>
      </c>
      <c r="E368" s="7">
        <v>48832.800000000003</v>
      </c>
      <c r="F368" s="8">
        <f t="shared" si="5"/>
        <v>-41175.5</v>
      </c>
      <c r="G368" t="str">
        <f>IF(표1[[#This Row],[diff]]&gt;0,"import","export")</f>
        <v>export</v>
      </c>
    </row>
    <row r="369" spans="1:7" x14ac:dyDescent="0.3">
      <c r="A369" s="6">
        <v>2022</v>
      </c>
      <c r="B369" s="6">
        <v>2916111000</v>
      </c>
      <c r="C369" s="6" t="s">
        <v>292</v>
      </c>
      <c r="D369" s="7">
        <v>28629.5</v>
      </c>
      <c r="E369" s="7">
        <v>24129.200000000001</v>
      </c>
      <c r="F369" s="8">
        <f t="shared" si="5"/>
        <v>-4500.2999999999993</v>
      </c>
      <c r="G369" t="str">
        <f>IF(표1[[#This Row],[diff]]&gt;0,"import","export")</f>
        <v>export</v>
      </c>
    </row>
    <row r="370" spans="1:7" x14ac:dyDescent="0.3">
      <c r="A370" s="6">
        <v>2022</v>
      </c>
      <c r="B370" s="6">
        <v>2916121000</v>
      </c>
      <c r="C370" s="6" t="s">
        <v>293</v>
      </c>
      <c r="D370" s="7">
        <v>9226.4</v>
      </c>
      <c r="E370" s="7">
        <v>7030.3</v>
      </c>
      <c r="F370" s="8">
        <f t="shared" si="5"/>
        <v>-2196.0999999999995</v>
      </c>
      <c r="G370" t="str">
        <f>IF(표1[[#This Row],[diff]]&gt;0,"import","export")</f>
        <v>export</v>
      </c>
    </row>
    <row r="371" spans="1:7" x14ac:dyDescent="0.3">
      <c r="A371" s="6">
        <v>2022</v>
      </c>
      <c r="B371" s="6">
        <v>2916141000</v>
      </c>
      <c r="C371" s="6" t="s">
        <v>294</v>
      </c>
      <c r="D371" s="7">
        <v>27899.7</v>
      </c>
      <c r="E371" s="7">
        <v>37911.599999999999</v>
      </c>
      <c r="F371" s="8">
        <f t="shared" si="5"/>
        <v>10011.899999999998</v>
      </c>
      <c r="G371" t="str">
        <f>IF(표1[[#This Row],[diff]]&gt;0,"import","export")</f>
        <v>import</v>
      </c>
    </row>
    <row r="372" spans="1:7" x14ac:dyDescent="0.3">
      <c r="A372" s="6">
        <v>2022</v>
      </c>
      <c r="B372" s="6">
        <v>2917140000</v>
      </c>
      <c r="C372" s="6" t="s">
        <v>295</v>
      </c>
      <c r="D372" s="7">
        <v>33965</v>
      </c>
      <c r="E372" s="7">
        <v>6527.4</v>
      </c>
      <c r="F372" s="8">
        <f t="shared" si="5"/>
        <v>-27437.599999999999</v>
      </c>
      <c r="G372" t="str">
        <f>IF(표1[[#This Row],[diff]]&gt;0,"import","export")</f>
        <v>export</v>
      </c>
    </row>
    <row r="373" spans="1:7" x14ac:dyDescent="0.3">
      <c r="A373" s="6">
        <v>2022</v>
      </c>
      <c r="B373" s="6">
        <v>2917350000</v>
      </c>
      <c r="C373" s="6" t="s">
        <v>296</v>
      </c>
      <c r="D373" s="7">
        <v>165024</v>
      </c>
      <c r="E373" s="6">
        <v>20.8</v>
      </c>
      <c r="F373" s="8">
        <f t="shared" si="5"/>
        <v>-165003.20000000001</v>
      </c>
      <c r="G373" t="str">
        <f>IF(표1[[#This Row],[diff]]&gt;0,"import","export")</f>
        <v>export</v>
      </c>
    </row>
    <row r="374" spans="1:7" x14ac:dyDescent="0.3">
      <c r="A374" s="6">
        <v>2022</v>
      </c>
      <c r="B374" s="6">
        <v>2917361000</v>
      </c>
      <c r="C374" s="6" t="s">
        <v>297</v>
      </c>
      <c r="D374" s="7">
        <v>1646206.9</v>
      </c>
      <c r="E374" s="6">
        <v>230.2</v>
      </c>
      <c r="F374" s="8">
        <f t="shared" si="5"/>
        <v>-1645976.7</v>
      </c>
      <c r="G374" t="str">
        <f>IF(표1[[#This Row],[diff]]&gt;0,"import","export")</f>
        <v>export</v>
      </c>
    </row>
    <row r="375" spans="1:7" x14ac:dyDescent="0.3">
      <c r="A375" s="6">
        <v>2022</v>
      </c>
      <c r="B375" s="6">
        <v>2917370000</v>
      </c>
      <c r="C375" s="6" t="s">
        <v>298</v>
      </c>
      <c r="D375" s="7">
        <v>43649</v>
      </c>
      <c r="E375" s="6">
        <v>154.1</v>
      </c>
      <c r="F375" s="8">
        <f t="shared" si="5"/>
        <v>-43494.9</v>
      </c>
      <c r="G375" t="str">
        <f>IF(표1[[#This Row],[diff]]&gt;0,"import","export")</f>
        <v>export</v>
      </c>
    </row>
    <row r="376" spans="1:7" x14ac:dyDescent="0.3">
      <c r="A376" s="6">
        <v>2022</v>
      </c>
      <c r="B376" s="6">
        <v>2921411000</v>
      </c>
      <c r="C376" s="6" t="s">
        <v>299</v>
      </c>
      <c r="D376" s="6">
        <v>269</v>
      </c>
      <c r="E376" s="7">
        <v>7239.4</v>
      </c>
      <c r="F376" s="8">
        <f t="shared" si="5"/>
        <v>6970.4</v>
      </c>
      <c r="G376" t="str">
        <f>IF(표1[[#This Row],[diff]]&gt;0,"import","export")</f>
        <v>import</v>
      </c>
    </row>
    <row r="377" spans="1:7" x14ac:dyDescent="0.3">
      <c r="A377" s="6">
        <v>2022</v>
      </c>
      <c r="B377" s="6">
        <v>2922111000</v>
      </c>
      <c r="C377" s="6" t="s">
        <v>300</v>
      </c>
      <c r="D377" s="6">
        <v>976</v>
      </c>
      <c r="E377" s="7">
        <v>9073.7999999999993</v>
      </c>
      <c r="F377" s="8">
        <f t="shared" si="5"/>
        <v>8097.7999999999993</v>
      </c>
      <c r="G377" t="str">
        <f>IF(표1[[#This Row],[diff]]&gt;0,"import","export")</f>
        <v>import</v>
      </c>
    </row>
    <row r="378" spans="1:7" x14ac:dyDescent="0.3">
      <c r="A378" s="6">
        <v>2022</v>
      </c>
      <c r="B378" s="6">
        <v>2922121000</v>
      </c>
      <c r="C378" s="6" t="s">
        <v>301</v>
      </c>
      <c r="D378" s="6">
        <v>763.9</v>
      </c>
      <c r="E378" s="7">
        <v>3139.9</v>
      </c>
      <c r="F378" s="8">
        <f t="shared" si="5"/>
        <v>2376</v>
      </c>
      <c r="G378" t="str">
        <f>IF(표1[[#This Row],[diff]]&gt;0,"import","export")</f>
        <v>import</v>
      </c>
    </row>
    <row r="379" spans="1:7" x14ac:dyDescent="0.3">
      <c r="A379" s="6">
        <v>2022</v>
      </c>
      <c r="B379" s="6">
        <v>2922150000</v>
      </c>
      <c r="C379" s="6" t="s">
        <v>302</v>
      </c>
      <c r="D379" s="7">
        <v>1600.7</v>
      </c>
      <c r="E379" s="7">
        <v>9570.7000000000007</v>
      </c>
      <c r="F379" s="8">
        <f t="shared" si="5"/>
        <v>7970.0000000000009</v>
      </c>
      <c r="G379" t="str">
        <f>IF(표1[[#This Row],[diff]]&gt;0,"import","export")</f>
        <v>import</v>
      </c>
    </row>
    <row r="380" spans="1:7" x14ac:dyDescent="0.3">
      <c r="A380" s="6">
        <v>2022</v>
      </c>
      <c r="B380" s="6">
        <v>2926100000</v>
      </c>
      <c r="C380" s="6" t="s">
        <v>303</v>
      </c>
      <c r="D380" s="7">
        <v>235488.6</v>
      </c>
      <c r="E380" s="7">
        <v>173566.5</v>
      </c>
      <c r="F380" s="8">
        <f t="shared" si="5"/>
        <v>-61922.100000000006</v>
      </c>
      <c r="G380" t="str">
        <f>IF(표1[[#This Row],[diff]]&gt;0,"import","export")</f>
        <v>export</v>
      </c>
    </row>
    <row r="381" spans="1:7" x14ac:dyDescent="0.3">
      <c r="A381" s="6">
        <v>2022</v>
      </c>
      <c r="B381" s="6">
        <v>2929101000</v>
      </c>
      <c r="C381" s="6" t="s">
        <v>304</v>
      </c>
      <c r="D381" s="7">
        <v>247489.8</v>
      </c>
      <c r="E381" s="7">
        <v>1493.7</v>
      </c>
      <c r="F381" s="8">
        <f t="shared" si="5"/>
        <v>-245996.09999999998</v>
      </c>
      <c r="G381" t="str">
        <f>IF(표1[[#This Row],[diff]]&gt;0,"import","export")</f>
        <v>export</v>
      </c>
    </row>
    <row r="382" spans="1:7" x14ac:dyDescent="0.3">
      <c r="A382" s="6">
        <v>2022</v>
      </c>
      <c r="B382" s="6">
        <v>2929102000</v>
      </c>
      <c r="C382" s="6" t="s">
        <v>305</v>
      </c>
      <c r="D382" s="7">
        <v>95721.2</v>
      </c>
      <c r="E382" s="7">
        <v>1612.9</v>
      </c>
      <c r="F382" s="8">
        <f t="shared" si="5"/>
        <v>-94108.3</v>
      </c>
      <c r="G382" t="str">
        <f>IF(표1[[#This Row],[diff]]&gt;0,"import","export")</f>
        <v>export</v>
      </c>
    </row>
    <row r="383" spans="1:7" x14ac:dyDescent="0.3">
      <c r="A383" s="6">
        <v>2022</v>
      </c>
      <c r="B383" s="6">
        <v>2933710000</v>
      </c>
      <c r="C383" s="6" t="s">
        <v>306</v>
      </c>
      <c r="D383" s="7">
        <v>14789</v>
      </c>
      <c r="E383" s="7">
        <v>28995</v>
      </c>
      <c r="F383" s="8">
        <f t="shared" si="5"/>
        <v>14206</v>
      </c>
      <c r="G383" t="str">
        <f>IF(표1[[#This Row],[diff]]&gt;0,"import","export")</f>
        <v>import</v>
      </c>
    </row>
    <row r="384" spans="1:7" x14ac:dyDescent="0.3">
      <c r="A384" s="6">
        <v>2022</v>
      </c>
      <c r="B384" s="6">
        <v>3901101000</v>
      </c>
      <c r="C384" s="6" t="s">
        <v>307</v>
      </c>
      <c r="D384" s="7">
        <v>339520.1</v>
      </c>
      <c r="E384" s="7">
        <v>23887.8</v>
      </c>
      <c r="F384" s="8">
        <f t="shared" si="5"/>
        <v>-315632.3</v>
      </c>
      <c r="G384" t="str">
        <f>IF(표1[[#This Row],[diff]]&gt;0,"import","export")</f>
        <v>export</v>
      </c>
    </row>
    <row r="385" spans="1:7" x14ac:dyDescent="0.3">
      <c r="A385" s="6">
        <v>2022</v>
      </c>
      <c r="B385" s="6">
        <v>3902100000</v>
      </c>
      <c r="C385" s="6" t="s">
        <v>308</v>
      </c>
      <c r="D385" s="7">
        <v>1970530.7</v>
      </c>
      <c r="E385" s="7">
        <v>15108.5</v>
      </c>
      <c r="F385" s="8">
        <f t="shared" si="5"/>
        <v>-1955422.2</v>
      </c>
      <c r="G385" t="str">
        <f>IF(표1[[#This Row],[diff]]&gt;0,"import","export")</f>
        <v>export</v>
      </c>
    </row>
    <row r="386" spans="1:7" x14ac:dyDescent="0.3">
      <c r="A386" s="6">
        <v>2022</v>
      </c>
      <c r="B386" s="6">
        <v>3902200000</v>
      </c>
      <c r="C386" s="6" t="s">
        <v>309</v>
      </c>
      <c r="D386" s="7">
        <v>195332.8</v>
      </c>
      <c r="E386" s="7">
        <v>1134.7</v>
      </c>
      <c r="F386" s="8">
        <f t="shared" si="5"/>
        <v>-194198.09999999998</v>
      </c>
      <c r="G386" t="str">
        <f>IF(표1[[#This Row],[diff]]&gt;0,"import","export")</f>
        <v>export</v>
      </c>
    </row>
    <row r="387" spans="1:7" x14ac:dyDescent="0.3">
      <c r="A387" s="6">
        <v>2022</v>
      </c>
      <c r="B387" s="6">
        <v>3903200000</v>
      </c>
      <c r="C387" s="6" t="s">
        <v>310</v>
      </c>
      <c r="D387" s="7">
        <v>175503.4</v>
      </c>
      <c r="E387" s="7">
        <v>6528.7</v>
      </c>
      <c r="F387" s="8">
        <f t="shared" ref="F387:F450" si="6">E387-D387</f>
        <v>-168974.69999999998</v>
      </c>
      <c r="G387" t="str">
        <f>IF(표1[[#This Row],[diff]]&gt;0,"import","export")</f>
        <v>export</v>
      </c>
    </row>
    <row r="388" spans="1:7" x14ac:dyDescent="0.3">
      <c r="A388" s="6">
        <v>2022</v>
      </c>
      <c r="B388" s="6">
        <v>3903300000</v>
      </c>
      <c r="C388" s="6" t="s">
        <v>311</v>
      </c>
      <c r="D388" s="7">
        <v>1075950.8</v>
      </c>
      <c r="E388" s="7">
        <v>11900.1</v>
      </c>
      <c r="F388" s="8">
        <f t="shared" si="6"/>
        <v>-1064050.7</v>
      </c>
      <c r="G388" t="str">
        <f>IF(표1[[#This Row],[diff]]&gt;0,"import","export")</f>
        <v>export</v>
      </c>
    </row>
    <row r="389" spans="1:7" x14ac:dyDescent="0.3">
      <c r="A389" s="6">
        <v>2022</v>
      </c>
      <c r="B389" s="6">
        <v>3903901000</v>
      </c>
      <c r="C389" s="6" t="s">
        <v>312</v>
      </c>
      <c r="D389" s="7">
        <v>297506.7</v>
      </c>
      <c r="E389" s="7">
        <v>4405</v>
      </c>
      <c r="F389" s="8">
        <f t="shared" si="6"/>
        <v>-293101.7</v>
      </c>
      <c r="G389" t="str">
        <f>IF(표1[[#This Row],[diff]]&gt;0,"import","export")</f>
        <v>export</v>
      </c>
    </row>
    <row r="390" spans="1:7" x14ac:dyDescent="0.3">
      <c r="A390" s="6">
        <v>2022</v>
      </c>
      <c r="B390" s="6">
        <v>3906100000</v>
      </c>
      <c r="C390" s="6" t="s">
        <v>313</v>
      </c>
      <c r="D390" s="7">
        <v>119666.6</v>
      </c>
      <c r="E390" s="7">
        <v>3828.5</v>
      </c>
      <c r="F390" s="8">
        <f t="shared" si="6"/>
        <v>-115838.1</v>
      </c>
      <c r="G390" t="str">
        <f>IF(표1[[#This Row],[diff]]&gt;0,"import","export")</f>
        <v>export</v>
      </c>
    </row>
    <row r="391" spans="1:7" x14ac:dyDescent="0.3">
      <c r="A391" s="6">
        <v>2022</v>
      </c>
      <c r="B391" s="6">
        <v>3907400000</v>
      </c>
      <c r="C391" s="6" t="s">
        <v>314</v>
      </c>
      <c r="D391" s="7">
        <v>636962.80000000005</v>
      </c>
      <c r="E391" s="7">
        <v>66408.7</v>
      </c>
      <c r="F391" s="8">
        <f t="shared" si="6"/>
        <v>-570554.10000000009</v>
      </c>
      <c r="G391" t="str">
        <f>IF(표1[[#This Row],[diff]]&gt;0,"import","export")</f>
        <v>export</v>
      </c>
    </row>
    <row r="392" spans="1:7" x14ac:dyDescent="0.3">
      <c r="A392" s="6">
        <v>2022</v>
      </c>
      <c r="B392" s="6">
        <v>3909500000</v>
      </c>
      <c r="C392" s="6" t="s">
        <v>315</v>
      </c>
      <c r="D392" s="7">
        <v>80632.2</v>
      </c>
      <c r="E392" s="7">
        <v>29082.3</v>
      </c>
      <c r="F392" s="8">
        <f t="shared" si="6"/>
        <v>-51549.899999999994</v>
      </c>
      <c r="G392" t="str">
        <f>IF(표1[[#This Row],[diff]]&gt;0,"import","export")</f>
        <v>export</v>
      </c>
    </row>
    <row r="393" spans="1:7" x14ac:dyDescent="0.3">
      <c r="A393" s="6">
        <v>2023</v>
      </c>
      <c r="B393" s="6">
        <v>2207200000</v>
      </c>
      <c r="C393" s="6" t="s">
        <v>331</v>
      </c>
      <c r="D393" s="7">
        <v>15938.4</v>
      </c>
      <c r="E393" s="7">
        <v>183910.2</v>
      </c>
      <c r="F393" s="8">
        <f t="shared" si="6"/>
        <v>167971.80000000002</v>
      </c>
      <c r="G393" t="str">
        <f>IF(표1[[#This Row],[diff]]&gt;0,"import","export")</f>
        <v>import</v>
      </c>
    </row>
    <row r="394" spans="1:7" x14ac:dyDescent="0.3">
      <c r="A394" s="6">
        <v>2023</v>
      </c>
      <c r="B394" s="6">
        <v>2901291000</v>
      </c>
      <c r="C394" s="6" t="s">
        <v>261</v>
      </c>
      <c r="D394" s="6">
        <v>15.1</v>
      </c>
      <c r="E394" s="7">
        <v>38050</v>
      </c>
      <c r="F394" s="8">
        <f t="shared" si="6"/>
        <v>38034.9</v>
      </c>
      <c r="G394" t="str">
        <f>IF(표1[[#This Row],[diff]]&gt;0,"import","export")</f>
        <v>import</v>
      </c>
    </row>
    <row r="395" spans="1:7" x14ac:dyDescent="0.3">
      <c r="A395" s="6">
        <v>2023</v>
      </c>
      <c r="B395" s="6">
        <v>2901292000</v>
      </c>
      <c r="C395" s="6" t="s">
        <v>262</v>
      </c>
      <c r="D395" s="6">
        <v>329.7</v>
      </c>
      <c r="E395" s="7">
        <v>98415.8</v>
      </c>
      <c r="F395" s="8">
        <f t="shared" si="6"/>
        <v>98086.1</v>
      </c>
      <c r="G395" t="str">
        <f>IF(표1[[#This Row],[diff]]&gt;0,"import","export")</f>
        <v>import</v>
      </c>
    </row>
    <row r="396" spans="1:7" x14ac:dyDescent="0.3">
      <c r="A396" s="6">
        <v>2023</v>
      </c>
      <c r="B396" s="6">
        <v>2902110000</v>
      </c>
      <c r="C396" s="6" t="s">
        <v>263</v>
      </c>
      <c r="D396" s="6">
        <v>732.5</v>
      </c>
      <c r="E396" s="7">
        <v>3283</v>
      </c>
      <c r="F396" s="8">
        <f t="shared" si="6"/>
        <v>2550.5</v>
      </c>
      <c r="G396" t="str">
        <f>IF(표1[[#This Row],[diff]]&gt;0,"import","export")</f>
        <v>import</v>
      </c>
    </row>
    <row r="397" spans="1:7" x14ac:dyDescent="0.3">
      <c r="A397" s="6">
        <v>2023</v>
      </c>
      <c r="B397" s="6">
        <v>2902200000</v>
      </c>
      <c r="C397" s="6" t="s">
        <v>264</v>
      </c>
      <c r="D397" s="7">
        <v>2919625.7</v>
      </c>
      <c r="E397" s="7">
        <v>66138.899999999994</v>
      </c>
      <c r="F397" s="8">
        <f t="shared" si="6"/>
        <v>-2853486.8000000003</v>
      </c>
      <c r="G397" t="str">
        <f>IF(표1[[#This Row],[diff]]&gt;0,"import","export")</f>
        <v>export</v>
      </c>
    </row>
    <row r="398" spans="1:7" x14ac:dyDescent="0.3">
      <c r="A398" s="6">
        <v>2023</v>
      </c>
      <c r="B398" s="6">
        <v>2902300000</v>
      </c>
      <c r="C398" s="6" t="s">
        <v>265</v>
      </c>
      <c r="D398" s="7">
        <v>818967.5</v>
      </c>
      <c r="E398" s="7">
        <v>425103.2</v>
      </c>
      <c r="F398" s="8">
        <f t="shared" si="6"/>
        <v>-393864.3</v>
      </c>
      <c r="G398" t="str">
        <f>IF(표1[[#This Row],[diff]]&gt;0,"import","export")</f>
        <v>export</v>
      </c>
    </row>
    <row r="399" spans="1:7" x14ac:dyDescent="0.3">
      <c r="A399" s="6">
        <v>2023</v>
      </c>
      <c r="B399" s="6">
        <v>2902410000</v>
      </c>
      <c r="C399" s="6" t="s">
        <v>266</v>
      </c>
      <c r="D399" s="7">
        <v>116889</v>
      </c>
      <c r="E399" s="7">
        <v>20819.599999999999</v>
      </c>
      <c r="F399" s="8">
        <f t="shared" si="6"/>
        <v>-96069.4</v>
      </c>
      <c r="G399" t="str">
        <f>IF(표1[[#This Row],[diff]]&gt;0,"import","export")</f>
        <v>export</v>
      </c>
    </row>
    <row r="400" spans="1:7" x14ac:dyDescent="0.3">
      <c r="A400" s="6">
        <v>2023</v>
      </c>
      <c r="B400" s="6">
        <v>2902420000</v>
      </c>
      <c r="C400" s="6" t="s">
        <v>267</v>
      </c>
      <c r="D400" s="7">
        <v>4195.5</v>
      </c>
      <c r="E400" s="7">
        <v>20604.8</v>
      </c>
      <c r="F400" s="8">
        <f t="shared" si="6"/>
        <v>16409.3</v>
      </c>
      <c r="G400" t="str">
        <f>IF(표1[[#This Row],[diff]]&gt;0,"import","export")</f>
        <v>import</v>
      </c>
    </row>
    <row r="401" spans="1:7" x14ac:dyDescent="0.3">
      <c r="A401" s="6">
        <v>2023</v>
      </c>
      <c r="B401" s="6">
        <v>2902430000</v>
      </c>
      <c r="C401" s="6" t="s">
        <v>268</v>
      </c>
      <c r="D401" s="7">
        <v>4857276.5999999996</v>
      </c>
      <c r="E401" s="7">
        <v>54223</v>
      </c>
      <c r="F401" s="8">
        <f t="shared" si="6"/>
        <v>-4803053.5999999996</v>
      </c>
      <c r="G401" t="str">
        <f>IF(표1[[#This Row],[diff]]&gt;0,"import","export")</f>
        <v>export</v>
      </c>
    </row>
    <row r="402" spans="1:7" x14ac:dyDescent="0.3">
      <c r="A402" s="6">
        <v>2023</v>
      </c>
      <c r="B402" s="6">
        <v>2902500000</v>
      </c>
      <c r="C402" s="6" t="s">
        <v>269</v>
      </c>
      <c r="D402" s="7">
        <v>296982.2</v>
      </c>
      <c r="E402" s="7">
        <v>774897.6</v>
      </c>
      <c r="F402" s="8">
        <f t="shared" si="6"/>
        <v>477915.39999999997</v>
      </c>
      <c r="G402" t="str">
        <f>IF(표1[[#This Row],[diff]]&gt;0,"import","export")</f>
        <v>import</v>
      </c>
    </row>
    <row r="403" spans="1:7" x14ac:dyDescent="0.3">
      <c r="A403" s="6">
        <v>2023</v>
      </c>
      <c r="B403" s="6">
        <v>2902600000</v>
      </c>
      <c r="C403" s="6" t="s">
        <v>270</v>
      </c>
      <c r="D403" s="6">
        <v>54.1</v>
      </c>
      <c r="E403" s="6">
        <v>17.100000000000001</v>
      </c>
      <c r="F403" s="8">
        <f t="shared" si="6"/>
        <v>-37</v>
      </c>
      <c r="G403" t="str">
        <f>IF(표1[[#This Row],[diff]]&gt;0,"import","export")</f>
        <v>export</v>
      </c>
    </row>
    <row r="404" spans="1:7" x14ac:dyDescent="0.3">
      <c r="A404" s="6">
        <v>2023</v>
      </c>
      <c r="B404" s="6">
        <v>2902700000</v>
      </c>
      <c r="C404" s="6" t="s">
        <v>271</v>
      </c>
      <c r="D404" s="7">
        <v>56538.2</v>
      </c>
      <c r="E404" s="7">
        <v>9716.7000000000007</v>
      </c>
      <c r="F404" s="8">
        <f t="shared" si="6"/>
        <v>-46821.5</v>
      </c>
      <c r="G404" t="str">
        <f>IF(표1[[#This Row],[diff]]&gt;0,"import","export")</f>
        <v>export</v>
      </c>
    </row>
    <row r="405" spans="1:7" x14ac:dyDescent="0.3">
      <c r="A405" s="6">
        <v>2023</v>
      </c>
      <c r="B405" s="6">
        <v>2903150000</v>
      </c>
      <c r="C405" s="6" t="s">
        <v>272</v>
      </c>
      <c r="D405" s="7">
        <v>305663.8</v>
      </c>
      <c r="E405" s="7">
        <v>9146</v>
      </c>
      <c r="F405" s="8">
        <f t="shared" si="6"/>
        <v>-296517.8</v>
      </c>
      <c r="G405" t="str">
        <f>IF(표1[[#This Row],[diff]]&gt;0,"import","export")</f>
        <v>export</v>
      </c>
    </row>
    <row r="406" spans="1:7" x14ac:dyDescent="0.3">
      <c r="A406" s="6">
        <v>2023</v>
      </c>
      <c r="B406" s="6">
        <v>2903210000</v>
      </c>
      <c r="C406" s="6" t="s">
        <v>273</v>
      </c>
      <c r="D406" s="7">
        <v>147549.4</v>
      </c>
      <c r="E406" s="7">
        <v>60150.9</v>
      </c>
      <c r="F406" s="8">
        <f t="shared" si="6"/>
        <v>-87398.5</v>
      </c>
      <c r="G406" t="str">
        <f>IF(표1[[#This Row],[diff]]&gt;0,"import","export")</f>
        <v>export</v>
      </c>
    </row>
    <row r="407" spans="1:7" x14ac:dyDescent="0.3">
      <c r="A407" s="6">
        <v>2023</v>
      </c>
      <c r="B407" s="6">
        <v>2905110000</v>
      </c>
      <c r="C407" s="6" t="s">
        <v>274</v>
      </c>
      <c r="D407" s="7">
        <v>1154.3</v>
      </c>
      <c r="E407" s="7">
        <v>1884646.3</v>
      </c>
      <c r="F407" s="8">
        <f t="shared" si="6"/>
        <v>1883492</v>
      </c>
      <c r="G407" t="str">
        <f>IF(표1[[#This Row],[diff]]&gt;0,"import","export")</f>
        <v>import</v>
      </c>
    </row>
    <row r="408" spans="1:7" x14ac:dyDescent="0.3">
      <c r="A408" s="6">
        <v>2023</v>
      </c>
      <c r="B408" s="6">
        <v>2905121000</v>
      </c>
      <c r="C408" s="6" t="s">
        <v>275</v>
      </c>
      <c r="D408" s="6">
        <v>267.39999999999998</v>
      </c>
      <c r="E408" s="7">
        <v>2849.9</v>
      </c>
      <c r="F408" s="8">
        <f t="shared" si="6"/>
        <v>2582.5</v>
      </c>
      <c r="G408" t="str">
        <f>IF(표1[[#This Row],[diff]]&gt;0,"import","export")</f>
        <v>import</v>
      </c>
    </row>
    <row r="409" spans="1:7" x14ac:dyDescent="0.3">
      <c r="A409" s="6">
        <v>2023</v>
      </c>
      <c r="B409" s="6">
        <v>2905130000</v>
      </c>
      <c r="C409" s="6" t="s">
        <v>276</v>
      </c>
      <c r="D409" s="6">
        <v>147.6</v>
      </c>
      <c r="E409" s="7">
        <v>64009.9</v>
      </c>
      <c r="F409" s="8">
        <f t="shared" si="6"/>
        <v>63862.3</v>
      </c>
      <c r="G409" t="str">
        <f>IF(표1[[#This Row],[diff]]&gt;0,"import","export")</f>
        <v>import</v>
      </c>
    </row>
    <row r="410" spans="1:7" x14ac:dyDescent="0.3">
      <c r="A410" s="6">
        <v>2023</v>
      </c>
      <c r="B410" s="6">
        <v>2905161000</v>
      </c>
      <c r="C410" s="6" t="s">
        <v>277</v>
      </c>
      <c r="D410" s="7">
        <v>97073.1</v>
      </c>
      <c r="E410" s="7">
        <v>40635.300000000003</v>
      </c>
      <c r="F410" s="8">
        <f t="shared" si="6"/>
        <v>-56437.8</v>
      </c>
      <c r="G410" t="str">
        <f>IF(표1[[#This Row],[diff]]&gt;0,"import","export")</f>
        <v>export</v>
      </c>
    </row>
    <row r="411" spans="1:7" x14ac:dyDescent="0.3">
      <c r="A411" s="6">
        <v>2023</v>
      </c>
      <c r="B411" s="6">
        <v>2905310000</v>
      </c>
      <c r="C411" s="6" t="s">
        <v>278</v>
      </c>
      <c r="D411" s="7">
        <v>229915.7</v>
      </c>
      <c r="E411" s="7">
        <v>338274</v>
      </c>
      <c r="F411" s="8">
        <f t="shared" si="6"/>
        <v>108358.29999999999</v>
      </c>
      <c r="G411" t="str">
        <f>IF(표1[[#This Row],[diff]]&gt;0,"import","export")</f>
        <v>import</v>
      </c>
    </row>
    <row r="412" spans="1:7" x14ac:dyDescent="0.3">
      <c r="A412" s="6">
        <v>2023</v>
      </c>
      <c r="B412" s="6">
        <v>2905320000</v>
      </c>
      <c r="C412" s="6" t="s">
        <v>279</v>
      </c>
      <c r="D412" s="7">
        <v>91716.5</v>
      </c>
      <c r="E412" s="7">
        <v>16272.3</v>
      </c>
      <c r="F412" s="8">
        <f t="shared" si="6"/>
        <v>-75444.2</v>
      </c>
      <c r="G412" t="str">
        <f>IF(표1[[#This Row],[diff]]&gt;0,"import","export")</f>
        <v>export</v>
      </c>
    </row>
    <row r="413" spans="1:7" x14ac:dyDescent="0.3">
      <c r="A413" s="6">
        <v>2023</v>
      </c>
      <c r="B413" s="6">
        <v>2907111000</v>
      </c>
      <c r="C413" s="6" t="s">
        <v>280</v>
      </c>
      <c r="D413" s="7">
        <v>65046.7</v>
      </c>
      <c r="E413" s="7">
        <v>71572.5</v>
      </c>
      <c r="F413" s="8">
        <f t="shared" si="6"/>
        <v>6525.8000000000029</v>
      </c>
      <c r="G413" t="str">
        <f>IF(표1[[#This Row],[diff]]&gt;0,"import","export")</f>
        <v>import</v>
      </c>
    </row>
    <row r="414" spans="1:7" x14ac:dyDescent="0.3">
      <c r="A414" s="6">
        <v>2023</v>
      </c>
      <c r="B414" s="6">
        <v>2907231000</v>
      </c>
      <c r="C414" s="6" t="s">
        <v>281</v>
      </c>
      <c r="D414" s="7">
        <v>244007.6</v>
      </c>
      <c r="E414" s="7">
        <v>86563.3</v>
      </c>
      <c r="F414" s="8">
        <f t="shared" si="6"/>
        <v>-157444.29999999999</v>
      </c>
      <c r="G414" t="str">
        <f>IF(표1[[#This Row],[diff]]&gt;0,"import","export")</f>
        <v>export</v>
      </c>
    </row>
    <row r="415" spans="1:7" x14ac:dyDescent="0.3">
      <c r="A415" s="6">
        <v>2023</v>
      </c>
      <c r="B415" s="6">
        <v>2909192000</v>
      </c>
      <c r="C415" s="6" t="s">
        <v>282</v>
      </c>
      <c r="D415" s="7">
        <v>24880.3</v>
      </c>
      <c r="E415" s="7">
        <v>124649.3</v>
      </c>
      <c r="F415" s="8">
        <f t="shared" si="6"/>
        <v>99769</v>
      </c>
      <c r="G415" t="str">
        <f>IF(표1[[#This Row],[diff]]&gt;0,"import","export")</f>
        <v>import</v>
      </c>
    </row>
    <row r="416" spans="1:7" x14ac:dyDescent="0.3">
      <c r="A416" s="6">
        <v>2023</v>
      </c>
      <c r="B416" s="6">
        <v>2910100000</v>
      </c>
      <c r="C416" s="6" t="s">
        <v>283</v>
      </c>
      <c r="D416" s="6">
        <v>183.5</v>
      </c>
      <c r="E416" s="6">
        <v>42.4</v>
      </c>
      <c r="F416" s="8">
        <f t="shared" si="6"/>
        <v>-141.1</v>
      </c>
      <c r="G416" t="str">
        <f>IF(표1[[#This Row],[diff]]&gt;0,"import","export")</f>
        <v>export</v>
      </c>
    </row>
    <row r="417" spans="1:7" x14ac:dyDescent="0.3">
      <c r="A417" s="6">
        <v>2023</v>
      </c>
      <c r="B417" s="6">
        <v>2910200000</v>
      </c>
      <c r="C417" s="6" t="s">
        <v>284</v>
      </c>
      <c r="D417" s="7">
        <v>38327.300000000003</v>
      </c>
      <c r="E417" s="7">
        <v>57417.8</v>
      </c>
      <c r="F417" s="8">
        <f t="shared" si="6"/>
        <v>19090.5</v>
      </c>
      <c r="G417" t="str">
        <f>IF(표1[[#This Row],[diff]]&gt;0,"import","export")</f>
        <v>import</v>
      </c>
    </row>
    <row r="418" spans="1:7" x14ac:dyDescent="0.3">
      <c r="A418" s="6">
        <v>2023</v>
      </c>
      <c r="B418" s="6">
        <v>2912110000</v>
      </c>
      <c r="C418" s="6" t="s">
        <v>285</v>
      </c>
      <c r="D418" s="6">
        <v>74.3</v>
      </c>
      <c r="E418" s="6">
        <v>384.1</v>
      </c>
      <c r="F418" s="8">
        <f t="shared" si="6"/>
        <v>309.8</v>
      </c>
      <c r="G418" t="str">
        <f>IF(표1[[#This Row],[diff]]&gt;0,"import","export")</f>
        <v>import</v>
      </c>
    </row>
    <row r="419" spans="1:7" x14ac:dyDescent="0.3">
      <c r="A419" s="6">
        <v>2023</v>
      </c>
      <c r="B419" s="6">
        <v>2912120000</v>
      </c>
      <c r="C419" s="6" t="s">
        <v>286</v>
      </c>
      <c r="D419" s="6">
        <v>0</v>
      </c>
      <c r="E419" s="6">
        <v>31.2</v>
      </c>
      <c r="F419" s="8">
        <f t="shared" si="6"/>
        <v>31.2</v>
      </c>
      <c r="G419" t="str">
        <f>IF(표1[[#This Row],[diff]]&gt;0,"import","export")</f>
        <v>import</v>
      </c>
    </row>
    <row r="420" spans="1:7" x14ac:dyDescent="0.3">
      <c r="A420" s="6">
        <v>2023</v>
      </c>
      <c r="B420" s="6">
        <v>2912193000</v>
      </c>
      <c r="C420" s="6" t="s">
        <v>287</v>
      </c>
      <c r="D420" s="7">
        <v>5250</v>
      </c>
      <c r="E420" s="6">
        <v>126.8</v>
      </c>
      <c r="F420" s="8">
        <f t="shared" si="6"/>
        <v>-5123.2</v>
      </c>
      <c r="G420" t="str">
        <f>IF(표1[[#This Row],[diff]]&gt;0,"import","export")</f>
        <v>export</v>
      </c>
    </row>
    <row r="421" spans="1:7" x14ac:dyDescent="0.3">
      <c r="A421" s="6">
        <v>2023</v>
      </c>
      <c r="B421" s="6">
        <v>2914110000</v>
      </c>
      <c r="C421" s="6" t="s">
        <v>288</v>
      </c>
      <c r="D421" s="7">
        <v>108860</v>
      </c>
      <c r="E421" s="6">
        <v>8.1</v>
      </c>
      <c r="F421" s="8">
        <f t="shared" si="6"/>
        <v>-108851.9</v>
      </c>
      <c r="G421" t="str">
        <f>IF(표1[[#This Row],[diff]]&gt;0,"import","export")</f>
        <v>export</v>
      </c>
    </row>
    <row r="422" spans="1:7" x14ac:dyDescent="0.3">
      <c r="A422" s="6">
        <v>2023</v>
      </c>
      <c r="B422" s="6">
        <v>2914221000</v>
      </c>
      <c r="C422" s="6" t="s">
        <v>289</v>
      </c>
      <c r="D422" s="6">
        <v>164.4</v>
      </c>
      <c r="E422" s="7">
        <v>6186.3</v>
      </c>
      <c r="F422" s="8">
        <f t="shared" si="6"/>
        <v>6021.9000000000005</v>
      </c>
      <c r="G422" t="str">
        <f>IF(표1[[#This Row],[diff]]&gt;0,"import","export")</f>
        <v>import</v>
      </c>
    </row>
    <row r="423" spans="1:7" x14ac:dyDescent="0.3">
      <c r="A423" s="6">
        <v>2023</v>
      </c>
      <c r="B423" s="6">
        <v>2915210000</v>
      </c>
      <c r="C423" s="6" t="s">
        <v>290</v>
      </c>
      <c r="D423" s="7">
        <v>119657.1</v>
      </c>
      <c r="E423" s="7">
        <v>56707.4</v>
      </c>
      <c r="F423" s="8">
        <f t="shared" si="6"/>
        <v>-62949.700000000004</v>
      </c>
      <c r="G423" t="str">
        <f>IF(표1[[#This Row],[diff]]&gt;0,"import","export")</f>
        <v>export</v>
      </c>
    </row>
    <row r="424" spans="1:7" x14ac:dyDescent="0.3">
      <c r="A424" s="6">
        <v>2023</v>
      </c>
      <c r="B424" s="6">
        <v>2915320000</v>
      </c>
      <c r="C424" s="6" t="s">
        <v>291</v>
      </c>
      <c r="D424" s="7">
        <v>166360.20000000001</v>
      </c>
      <c r="E424" s="7">
        <v>72797.600000000006</v>
      </c>
      <c r="F424" s="8">
        <f t="shared" si="6"/>
        <v>-93562.6</v>
      </c>
      <c r="G424" t="str">
        <f>IF(표1[[#This Row],[diff]]&gt;0,"import","export")</f>
        <v>export</v>
      </c>
    </row>
    <row r="425" spans="1:7" x14ac:dyDescent="0.3">
      <c r="A425" s="6">
        <v>2023</v>
      </c>
      <c r="B425" s="6">
        <v>2916111000</v>
      </c>
      <c r="C425" s="6" t="s">
        <v>292</v>
      </c>
      <c r="D425" s="7">
        <v>35687.800000000003</v>
      </c>
      <c r="E425" s="7">
        <v>35788.400000000001</v>
      </c>
      <c r="F425" s="8">
        <f t="shared" si="6"/>
        <v>100.59999999999854</v>
      </c>
      <c r="G425" t="str">
        <f>IF(표1[[#This Row],[diff]]&gt;0,"import","export")</f>
        <v>import</v>
      </c>
    </row>
    <row r="426" spans="1:7" x14ac:dyDescent="0.3">
      <c r="A426" s="6">
        <v>2023</v>
      </c>
      <c r="B426" s="6">
        <v>2916121000</v>
      </c>
      <c r="C426" s="6" t="s">
        <v>293</v>
      </c>
      <c r="D426" s="7">
        <v>11931.7</v>
      </c>
      <c r="E426" s="7">
        <v>7754.2</v>
      </c>
      <c r="F426" s="8">
        <f t="shared" si="6"/>
        <v>-4177.5000000000009</v>
      </c>
      <c r="G426" t="str">
        <f>IF(표1[[#This Row],[diff]]&gt;0,"import","export")</f>
        <v>export</v>
      </c>
    </row>
    <row r="427" spans="1:7" x14ac:dyDescent="0.3">
      <c r="A427" s="6">
        <v>2023</v>
      </c>
      <c r="B427" s="6">
        <v>2916141000</v>
      </c>
      <c r="C427" s="6" t="s">
        <v>294</v>
      </c>
      <c r="D427" s="7">
        <v>22564.2</v>
      </c>
      <c r="E427" s="7">
        <v>21839.599999999999</v>
      </c>
      <c r="F427" s="8">
        <f t="shared" si="6"/>
        <v>-724.60000000000218</v>
      </c>
      <c r="G427" t="str">
        <f>IF(표1[[#This Row],[diff]]&gt;0,"import","export")</f>
        <v>export</v>
      </c>
    </row>
    <row r="428" spans="1:7" x14ac:dyDescent="0.3">
      <c r="A428" s="6">
        <v>2023</v>
      </c>
      <c r="B428" s="6">
        <v>2917140000</v>
      </c>
      <c r="C428" s="6" t="s">
        <v>295</v>
      </c>
      <c r="D428" s="7">
        <v>39025</v>
      </c>
      <c r="E428" s="7">
        <v>4228.6000000000004</v>
      </c>
      <c r="F428" s="8">
        <f t="shared" si="6"/>
        <v>-34796.400000000001</v>
      </c>
      <c r="G428" t="str">
        <f>IF(표1[[#This Row],[diff]]&gt;0,"import","export")</f>
        <v>export</v>
      </c>
    </row>
    <row r="429" spans="1:7" x14ac:dyDescent="0.3">
      <c r="A429" s="6">
        <v>2023</v>
      </c>
      <c r="B429" s="6">
        <v>2917350000</v>
      </c>
      <c r="C429" s="6" t="s">
        <v>296</v>
      </c>
      <c r="D429" s="7">
        <v>111508.6</v>
      </c>
      <c r="E429" s="6">
        <v>986.9</v>
      </c>
      <c r="F429" s="8">
        <f t="shared" si="6"/>
        <v>-110521.70000000001</v>
      </c>
      <c r="G429" t="str">
        <f>IF(표1[[#This Row],[diff]]&gt;0,"import","export")</f>
        <v>export</v>
      </c>
    </row>
    <row r="430" spans="1:7" x14ac:dyDescent="0.3">
      <c r="A430" s="6">
        <v>2023</v>
      </c>
      <c r="B430" s="6">
        <v>2917361000</v>
      </c>
      <c r="C430" s="6" t="s">
        <v>297</v>
      </c>
      <c r="D430" s="7">
        <v>2088362.2</v>
      </c>
      <c r="E430" s="6">
        <v>637.6</v>
      </c>
      <c r="F430" s="8">
        <f t="shared" si="6"/>
        <v>-2087724.5999999999</v>
      </c>
      <c r="G430" t="str">
        <f>IF(표1[[#This Row],[diff]]&gt;0,"import","export")</f>
        <v>export</v>
      </c>
    </row>
    <row r="431" spans="1:7" x14ac:dyDescent="0.3">
      <c r="A431" s="6">
        <v>2023</v>
      </c>
      <c r="B431" s="6">
        <v>2917370000</v>
      </c>
      <c r="C431" s="6" t="s">
        <v>298</v>
      </c>
      <c r="D431" s="7">
        <v>54360</v>
      </c>
      <c r="E431" s="6">
        <v>933.9</v>
      </c>
      <c r="F431" s="8">
        <f t="shared" si="6"/>
        <v>-53426.1</v>
      </c>
      <c r="G431" t="str">
        <f>IF(표1[[#This Row],[diff]]&gt;0,"import","export")</f>
        <v>export</v>
      </c>
    </row>
    <row r="432" spans="1:7" x14ac:dyDescent="0.3">
      <c r="A432" s="6">
        <v>2023</v>
      </c>
      <c r="B432" s="6">
        <v>2921411000</v>
      </c>
      <c r="C432" s="6" t="s">
        <v>299</v>
      </c>
      <c r="D432" s="6">
        <v>90.4</v>
      </c>
      <c r="E432" s="7">
        <v>3300</v>
      </c>
      <c r="F432" s="8">
        <f t="shared" si="6"/>
        <v>3209.6</v>
      </c>
      <c r="G432" t="str">
        <f>IF(표1[[#This Row],[diff]]&gt;0,"import","export")</f>
        <v>import</v>
      </c>
    </row>
    <row r="433" spans="1:7" x14ac:dyDescent="0.3">
      <c r="A433" s="6">
        <v>2023</v>
      </c>
      <c r="B433" s="6">
        <v>2922111000</v>
      </c>
      <c r="C433" s="6" t="s">
        <v>300</v>
      </c>
      <c r="D433" s="7">
        <v>2009.7</v>
      </c>
      <c r="E433" s="7">
        <v>6580.8</v>
      </c>
      <c r="F433" s="8">
        <f t="shared" si="6"/>
        <v>4571.1000000000004</v>
      </c>
      <c r="G433" t="str">
        <f>IF(표1[[#This Row],[diff]]&gt;0,"import","export")</f>
        <v>import</v>
      </c>
    </row>
    <row r="434" spans="1:7" x14ac:dyDescent="0.3">
      <c r="A434" s="6">
        <v>2023</v>
      </c>
      <c r="B434" s="6">
        <v>2922121000</v>
      </c>
      <c r="C434" s="6" t="s">
        <v>301</v>
      </c>
      <c r="D434" s="6">
        <v>825.2</v>
      </c>
      <c r="E434" s="7">
        <v>4850.7</v>
      </c>
      <c r="F434" s="8">
        <f t="shared" si="6"/>
        <v>4025.5</v>
      </c>
      <c r="G434" t="str">
        <f>IF(표1[[#This Row],[diff]]&gt;0,"import","export")</f>
        <v>import</v>
      </c>
    </row>
    <row r="435" spans="1:7" x14ac:dyDescent="0.3">
      <c r="A435" s="6">
        <v>2023</v>
      </c>
      <c r="B435" s="6">
        <v>2922150000</v>
      </c>
      <c r="C435" s="6" t="s">
        <v>302</v>
      </c>
      <c r="D435" s="7">
        <v>1559</v>
      </c>
      <c r="E435" s="7">
        <v>10525.8</v>
      </c>
      <c r="F435" s="8">
        <f t="shared" si="6"/>
        <v>8966.7999999999993</v>
      </c>
      <c r="G435" t="str">
        <f>IF(표1[[#This Row],[diff]]&gt;0,"import","export")</f>
        <v>import</v>
      </c>
    </row>
    <row r="436" spans="1:7" x14ac:dyDescent="0.3">
      <c r="A436" s="6">
        <v>2023</v>
      </c>
      <c r="B436" s="6">
        <v>2926100000</v>
      </c>
      <c r="C436" s="6" t="s">
        <v>303</v>
      </c>
      <c r="D436" s="7">
        <v>193095.8</v>
      </c>
      <c r="E436" s="7">
        <v>167596.4</v>
      </c>
      <c r="F436" s="8">
        <f t="shared" si="6"/>
        <v>-25499.399999999994</v>
      </c>
      <c r="G436" t="str">
        <f>IF(표1[[#This Row],[diff]]&gt;0,"import","export")</f>
        <v>export</v>
      </c>
    </row>
    <row r="437" spans="1:7" x14ac:dyDescent="0.3">
      <c r="A437" s="6">
        <v>2023</v>
      </c>
      <c r="B437" s="6">
        <v>2929101000</v>
      </c>
      <c r="C437" s="6" t="s">
        <v>304</v>
      </c>
      <c r="D437" s="7">
        <v>296970.90000000002</v>
      </c>
      <c r="E437" s="7">
        <v>2312.3000000000002</v>
      </c>
      <c r="F437" s="8">
        <f t="shared" si="6"/>
        <v>-294658.60000000003</v>
      </c>
      <c r="G437" t="str">
        <f>IF(표1[[#This Row],[diff]]&gt;0,"import","export")</f>
        <v>export</v>
      </c>
    </row>
    <row r="438" spans="1:7" x14ac:dyDescent="0.3">
      <c r="A438" s="6">
        <v>2023</v>
      </c>
      <c r="B438" s="6">
        <v>2929102000</v>
      </c>
      <c r="C438" s="6" t="s">
        <v>305</v>
      </c>
      <c r="D438" s="7">
        <v>110104</v>
      </c>
      <c r="E438" s="7">
        <v>1429.8</v>
      </c>
      <c r="F438" s="8">
        <f t="shared" si="6"/>
        <v>-108674.2</v>
      </c>
      <c r="G438" t="str">
        <f>IF(표1[[#This Row],[diff]]&gt;0,"import","export")</f>
        <v>export</v>
      </c>
    </row>
    <row r="439" spans="1:7" x14ac:dyDescent="0.3">
      <c r="A439" s="6">
        <v>2023</v>
      </c>
      <c r="B439" s="6">
        <v>2933710000</v>
      </c>
      <c r="C439" s="6" t="s">
        <v>306</v>
      </c>
      <c r="D439" s="6">
        <v>48</v>
      </c>
      <c r="E439" s="7">
        <v>42076.3</v>
      </c>
      <c r="F439" s="8">
        <f t="shared" si="6"/>
        <v>42028.3</v>
      </c>
      <c r="G439" t="str">
        <f>IF(표1[[#This Row],[diff]]&gt;0,"import","export")</f>
        <v>import</v>
      </c>
    </row>
    <row r="440" spans="1:7" x14ac:dyDescent="0.3">
      <c r="A440" s="6">
        <v>2023</v>
      </c>
      <c r="B440" s="6">
        <v>3901101000</v>
      </c>
      <c r="C440" s="6" t="s">
        <v>307</v>
      </c>
      <c r="D440" s="7">
        <v>283336.7</v>
      </c>
      <c r="E440" s="7">
        <v>36077.199999999997</v>
      </c>
      <c r="F440" s="8">
        <f t="shared" si="6"/>
        <v>-247259.5</v>
      </c>
      <c r="G440" t="str">
        <f>IF(표1[[#This Row],[diff]]&gt;0,"import","export")</f>
        <v>export</v>
      </c>
    </row>
    <row r="441" spans="1:7" x14ac:dyDescent="0.3">
      <c r="A441" s="6">
        <v>2023</v>
      </c>
      <c r="B441" s="6">
        <v>3902100000</v>
      </c>
      <c r="C441" s="6" t="s">
        <v>308</v>
      </c>
      <c r="D441" s="7">
        <v>1798511.3</v>
      </c>
      <c r="E441" s="7">
        <v>28715.200000000001</v>
      </c>
      <c r="F441" s="8">
        <f t="shared" si="6"/>
        <v>-1769796.1</v>
      </c>
      <c r="G441" t="str">
        <f>IF(표1[[#This Row],[diff]]&gt;0,"import","export")</f>
        <v>export</v>
      </c>
    </row>
    <row r="442" spans="1:7" x14ac:dyDescent="0.3">
      <c r="A442" s="6">
        <v>2023</v>
      </c>
      <c r="B442" s="6">
        <v>3902200000</v>
      </c>
      <c r="C442" s="6" t="s">
        <v>309</v>
      </c>
      <c r="D442" s="7">
        <v>163109</v>
      </c>
      <c r="E442" s="7">
        <v>1211</v>
      </c>
      <c r="F442" s="8">
        <f t="shared" si="6"/>
        <v>-161898</v>
      </c>
      <c r="G442" t="str">
        <f>IF(표1[[#This Row],[diff]]&gt;0,"import","export")</f>
        <v>export</v>
      </c>
    </row>
    <row r="443" spans="1:7" x14ac:dyDescent="0.3">
      <c r="A443" s="6">
        <v>2023</v>
      </c>
      <c r="B443" s="6">
        <v>3903200000</v>
      </c>
      <c r="C443" s="6" t="s">
        <v>310</v>
      </c>
      <c r="D443" s="7">
        <v>160984.4</v>
      </c>
      <c r="E443" s="7">
        <v>7141.5</v>
      </c>
      <c r="F443" s="8">
        <f t="shared" si="6"/>
        <v>-153842.9</v>
      </c>
      <c r="G443" t="str">
        <f>IF(표1[[#This Row],[diff]]&gt;0,"import","export")</f>
        <v>export</v>
      </c>
    </row>
    <row r="444" spans="1:7" x14ac:dyDescent="0.3">
      <c r="A444" s="6">
        <v>2023</v>
      </c>
      <c r="B444" s="6">
        <v>3903300000</v>
      </c>
      <c r="C444" s="6" t="s">
        <v>311</v>
      </c>
      <c r="D444" s="7">
        <v>1056634.8999999999</v>
      </c>
      <c r="E444" s="7">
        <v>10241.4</v>
      </c>
      <c r="F444" s="8">
        <f t="shared" si="6"/>
        <v>-1046393.4999999999</v>
      </c>
      <c r="G444" t="str">
        <f>IF(표1[[#This Row],[diff]]&gt;0,"import","export")</f>
        <v>export</v>
      </c>
    </row>
    <row r="445" spans="1:7" x14ac:dyDescent="0.3">
      <c r="A445" s="6">
        <v>2023</v>
      </c>
      <c r="B445" s="6">
        <v>3903901000</v>
      </c>
      <c r="C445" s="6" t="s">
        <v>312</v>
      </c>
      <c r="D445" s="7">
        <v>284974.40000000002</v>
      </c>
      <c r="E445" s="7">
        <v>4335.3</v>
      </c>
      <c r="F445" s="8">
        <f t="shared" si="6"/>
        <v>-280639.10000000003</v>
      </c>
      <c r="G445" t="str">
        <f>IF(표1[[#This Row],[diff]]&gt;0,"import","export")</f>
        <v>export</v>
      </c>
    </row>
    <row r="446" spans="1:7" x14ac:dyDescent="0.3">
      <c r="A446" s="6">
        <v>2023</v>
      </c>
      <c r="B446" s="6">
        <v>3906100000</v>
      </c>
      <c r="C446" s="6" t="s">
        <v>313</v>
      </c>
      <c r="D446" s="7">
        <v>114809.9</v>
      </c>
      <c r="E446" s="7">
        <v>3225.6</v>
      </c>
      <c r="F446" s="8">
        <f t="shared" si="6"/>
        <v>-111584.29999999999</v>
      </c>
      <c r="G446" t="str">
        <f>IF(표1[[#This Row],[diff]]&gt;0,"import","export")</f>
        <v>export</v>
      </c>
    </row>
    <row r="447" spans="1:7" x14ac:dyDescent="0.3">
      <c r="A447" s="6">
        <v>2023</v>
      </c>
      <c r="B447" s="6">
        <v>3907400000</v>
      </c>
      <c r="C447" s="6" t="s">
        <v>314</v>
      </c>
      <c r="D447" s="7">
        <v>683700.1</v>
      </c>
      <c r="E447" s="7">
        <v>78761.100000000006</v>
      </c>
      <c r="F447" s="8">
        <f t="shared" si="6"/>
        <v>-604939</v>
      </c>
      <c r="G447" t="str">
        <f>IF(표1[[#This Row],[diff]]&gt;0,"import","export")</f>
        <v>export</v>
      </c>
    </row>
    <row r="448" spans="1:7" x14ac:dyDescent="0.3">
      <c r="A448" s="6">
        <v>2023</v>
      </c>
      <c r="B448" s="6">
        <v>3909500000</v>
      </c>
      <c r="C448" s="6" t="s">
        <v>315</v>
      </c>
      <c r="D448" s="7">
        <v>74309</v>
      </c>
      <c r="E448" s="7">
        <v>26876.799999999999</v>
      </c>
      <c r="F448" s="8">
        <f t="shared" si="6"/>
        <v>-47432.2</v>
      </c>
      <c r="G448" t="str">
        <f>IF(표1[[#This Row],[diff]]&gt;0,"import","export")</f>
        <v>export</v>
      </c>
    </row>
    <row r="449" spans="1:7" x14ac:dyDescent="0.3">
      <c r="A449" s="6">
        <v>2024</v>
      </c>
      <c r="B449" s="6">
        <v>2207200000</v>
      </c>
      <c r="C449" s="6" t="s">
        <v>331</v>
      </c>
      <c r="D449" s="7">
        <v>1541.6</v>
      </c>
      <c r="E449" s="7">
        <v>199037.9</v>
      </c>
      <c r="F449" s="8">
        <f t="shared" si="6"/>
        <v>197496.3</v>
      </c>
      <c r="G449" t="str">
        <f>IF(표1[[#This Row],[diff]]&gt;0,"import","export")</f>
        <v>import</v>
      </c>
    </row>
    <row r="450" spans="1:7" x14ac:dyDescent="0.3">
      <c r="A450" s="6">
        <v>2024</v>
      </c>
      <c r="B450" s="6">
        <v>2901291000</v>
      </c>
      <c r="C450" s="6" t="s">
        <v>261</v>
      </c>
      <c r="D450" s="6">
        <v>109.2</v>
      </c>
      <c r="E450" s="7">
        <v>38477.699999999997</v>
      </c>
      <c r="F450" s="8">
        <f t="shared" si="6"/>
        <v>38368.5</v>
      </c>
      <c r="G450" t="str">
        <f>IF(표1[[#This Row],[diff]]&gt;0,"import","export")</f>
        <v>import</v>
      </c>
    </row>
    <row r="451" spans="1:7" x14ac:dyDescent="0.3">
      <c r="A451" s="6">
        <v>2024</v>
      </c>
      <c r="B451" s="6">
        <v>2901292000</v>
      </c>
      <c r="C451" s="6" t="s">
        <v>262</v>
      </c>
      <c r="D451" s="6">
        <v>460.7</v>
      </c>
      <c r="E451" s="7">
        <v>93935.5</v>
      </c>
      <c r="F451" s="8">
        <f t="shared" ref="F451:F514" si="7">E451-D451</f>
        <v>93474.8</v>
      </c>
      <c r="G451" t="str">
        <f>IF(표1[[#This Row],[diff]]&gt;0,"import","export")</f>
        <v>import</v>
      </c>
    </row>
    <row r="452" spans="1:7" x14ac:dyDescent="0.3">
      <c r="A452" s="6">
        <v>2024</v>
      </c>
      <c r="B452" s="6">
        <v>2902110000</v>
      </c>
      <c r="C452" s="6" t="s">
        <v>263</v>
      </c>
      <c r="D452" s="6">
        <v>462.9</v>
      </c>
      <c r="E452" s="7">
        <v>6204.7</v>
      </c>
      <c r="F452" s="8">
        <f t="shared" si="7"/>
        <v>5741.8</v>
      </c>
      <c r="G452" t="str">
        <f>IF(표1[[#This Row],[diff]]&gt;0,"import","export")</f>
        <v>import</v>
      </c>
    </row>
    <row r="453" spans="1:7" x14ac:dyDescent="0.3">
      <c r="A453" s="6">
        <v>2024</v>
      </c>
      <c r="B453" s="6">
        <v>2902200000</v>
      </c>
      <c r="C453" s="6" t="s">
        <v>264</v>
      </c>
      <c r="D453" s="7">
        <v>3033351.8</v>
      </c>
      <c r="E453" s="7">
        <v>88857.3</v>
      </c>
      <c r="F453" s="8">
        <f t="shared" si="7"/>
        <v>-2944494.5</v>
      </c>
      <c r="G453" t="str">
        <f>IF(표1[[#This Row],[diff]]&gt;0,"import","export")</f>
        <v>export</v>
      </c>
    </row>
    <row r="454" spans="1:7" x14ac:dyDescent="0.3">
      <c r="A454" s="6">
        <v>2024</v>
      </c>
      <c r="B454" s="6">
        <v>2902300000</v>
      </c>
      <c r="C454" s="6" t="s">
        <v>265</v>
      </c>
      <c r="D454" s="7">
        <v>591208.9</v>
      </c>
      <c r="E454" s="7">
        <v>452736.5</v>
      </c>
      <c r="F454" s="8">
        <f t="shared" si="7"/>
        <v>-138472.40000000002</v>
      </c>
      <c r="G454" t="str">
        <f>IF(표1[[#This Row],[diff]]&gt;0,"import","export")</f>
        <v>export</v>
      </c>
    </row>
    <row r="455" spans="1:7" x14ac:dyDescent="0.3">
      <c r="A455" s="6">
        <v>2024</v>
      </c>
      <c r="B455" s="6">
        <v>2902410000</v>
      </c>
      <c r="C455" s="6" t="s">
        <v>266</v>
      </c>
      <c r="D455" s="7">
        <v>87465.2</v>
      </c>
      <c r="E455" s="7">
        <v>7779.2</v>
      </c>
      <c r="F455" s="8">
        <f t="shared" si="7"/>
        <v>-79686</v>
      </c>
      <c r="G455" t="str">
        <f>IF(표1[[#This Row],[diff]]&gt;0,"import","export")</f>
        <v>export</v>
      </c>
    </row>
    <row r="456" spans="1:7" x14ac:dyDescent="0.3">
      <c r="A456" s="6">
        <v>2024</v>
      </c>
      <c r="B456" s="6">
        <v>2902420000</v>
      </c>
      <c r="C456" s="6" t="s">
        <v>267</v>
      </c>
      <c r="D456" s="6">
        <v>0</v>
      </c>
      <c r="E456" s="7">
        <v>14425.7</v>
      </c>
      <c r="F456" s="8">
        <f t="shared" si="7"/>
        <v>14425.7</v>
      </c>
      <c r="G456" t="str">
        <f>IF(표1[[#This Row],[diff]]&gt;0,"import","export")</f>
        <v>import</v>
      </c>
    </row>
    <row r="457" spans="1:7" x14ac:dyDescent="0.3">
      <c r="A457" s="6">
        <v>2024</v>
      </c>
      <c r="B457" s="6">
        <v>2902430000</v>
      </c>
      <c r="C457" s="6" t="s">
        <v>268</v>
      </c>
      <c r="D457" s="7">
        <v>4900754.3</v>
      </c>
      <c r="E457" s="7">
        <v>74178</v>
      </c>
      <c r="F457" s="8">
        <f t="shared" si="7"/>
        <v>-4826576.3</v>
      </c>
      <c r="G457" t="str">
        <f>IF(표1[[#This Row],[diff]]&gt;0,"import","export")</f>
        <v>export</v>
      </c>
    </row>
    <row r="458" spans="1:7" x14ac:dyDescent="0.3">
      <c r="A458" s="6">
        <v>2024</v>
      </c>
      <c r="B458" s="6">
        <v>2902500000</v>
      </c>
      <c r="C458" s="6" t="s">
        <v>269</v>
      </c>
      <c r="D458" s="7">
        <v>301521.7</v>
      </c>
      <c r="E458" s="7">
        <v>586773.6</v>
      </c>
      <c r="F458" s="8">
        <f t="shared" si="7"/>
        <v>285251.89999999997</v>
      </c>
      <c r="G458" t="str">
        <f>IF(표1[[#This Row],[diff]]&gt;0,"import","export")</f>
        <v>import</v>
      </c>
    </row>
    <row r="459" spans="1:7" x14ac:dyDescent="0.3">
      <c r="A459" s="6">
        <v>2024</v>
      </c>
      <c r="B459" s="6">
        <v>2902600000</v>
      </c>
      <c r="C459" s="6" t="s">
        <v>270</v>
      </c>
      <c r="D459" s="6">
        <v>18</v>
      </c>
      <c r="E459" s="6">
        <v>7.6</v>
      </c>
      <c r="F459" s="8">
        <f t="shared" si="7"/>
        <v>-10.4</v>
      </c>
      <c r="G459" t="str">
        <f>IF(표1[[#This Row],[diff]]&gt;0,"import","export")</f>
        <v>export</v>
      </c>
    </row>
    <row r="460" spans="1:7" x14ac:dyDescent="0.3">
      <c r="A460" s="6">
        <v>2024</v>
      </c>
      <c r="B460" s="6">
        <v>2902700000</v>
      </c>
      <c r="C460" s="6" t="s">
        <v>271</v>
      </c>
      <c r="D460" s="7">
        <v>103627.2</v>
      </c>
      <c r="E460" s="7">
        <v>16849.5</v>
      </c>
      <c r="F460" s="8">
        <f t="shared" si="7"/>
        <v>-86777.7</v>
      </c>
      <c r="G460" t="str">
        <f>IF(표1[[#This Row],[diff]]&gt;0,"import","export")</f>
        <v>export</v>
      </c>
    </row>
    <row r="461" spans="1:7" x14ac:dyDescent="0.3">
      <c r="A461" s="6">
        <v>2024</v>
      </c>
      <c r="B461" s="6">
        <v>2903150000</v>
      </c>
      <c r="C461" s="6" t="s">
        <v>272</v>
      </c>
      <c r="D461" s="7">
        <v>294692</v>
      </c>
      <c r="E461" s="7">
        <v>26341</v>
      </c>
      <c r="F461" s="8">
        <f t="shared" si="7"/>
        <v>-268351</v>
      </c>
      <c r="G461" t="str">
        <f>IF(표1[[#This Row],[diff]]&gt;0,"import","export")</f>
        <v>export</v>
      </c>
    </row>
    <row r="462" spans="1:7" x14ac:dyDescent="0.3">
      <c r="A462" s="6">
        <v>2024</v>
      </c>
      <c r="B462" s="6">
        <v>2903210000</v>
      </c>
      <c r="C462" s="6" t="s">
        <v>273</v>
      </c>
      <c r="D462" s="7">
        <v>225396</v>
      </c>
      <c r="E462" s="7">
        <v>56754.6</v>
      </c>
      <c r="F462" s="8">
        <f t="shared" si="7"/>
        <v>-168641.4</v>
      </c>
      <c r="G462" t="str">
        <f>IF(표1[[#This Row],[diff]]&gt;0,"import","export")</f>
        <v>export</v>
      </c>
    </row>
    <row r="463" spans="1:7" x14ac:dyDescent="0.3">
      <c r="A463" s="6">
        <v>2024</v>
      </c>
      <c r="B463" s="6">
        <v>2905110000</v>
      </c>
      <c r="C463" s="6" t="s">
        <v>274</v>
      </c>
      <c r="D463" s="7">
        <v>1490.4</v>
      </c>
      <c r="E463" s="7">
        <v>2002709.1</v>
      </c>
      <c r="F463" s="8">
        <f t="shared" si="7"/>
        <v>2001218.7000000002</v>
      </c>
      <c r="G463" t="str">
        <f>IF(표1[[#This Row],[diff]]&gt;0,"import","export")</f>
        <v>import</v>
      </c>
    </row>
    <row r="464" spans="1:7" x14ac:dyDescent="0.3">
      <c r="A464" s="6">
        <v>2024</v>
      </c>
      <c r="B464" s="6">
        <v>2905121000</v>
      </c>
      <c r="C464" s="6" t="s">
        <v>275</v>
      </c>
      <c r="D464" s="6">
        <v>173.8</v>
      </c>
      <c r="E464" s="7">
        <v>2878.8</v>
      </c>
      <c r="F464" s="8">
        <f t="shared" si="7"/>
        <v>2705</v>
      </c>
      <c r="G464" t="str">
        <f>IF(표1[[#This Row],[diff]]&gt;0,"import","export")</f>
        <v>import</v>
      </c>
    </row>
    <row r="465" spans="1:7" x14ac:dyDescent="0.3">
      <c r="A465" s="6">
        <v>2024</v>
      </c>
      <c r="B465" s="6">
        <v>2905130000</v>
      </c>
      <c r="C465" s="6" t="s">
        <v>276</v>
      </c>
      <c r="D465" s="6">
        <v>119</v>
      </c>
      <c r="E465" s="7">
        <v>56516.9</v>
      </c>
      <c r="F465" s="8">
        <f t="shared" si="7"/>
        <v>56397.9</v>
      </c>
      <c r="G465" t="str">
        <f>IF(표1[[#This Row],[diff]]&gt;0,"import","export")</f>
        <v>import</v>
      </c>
    </row>
    <row r="466" spans="1:7" x14ac:dyDescent="0.3">
      <c r="A466" s="6">
        <v>2024</v>
      </c>
      <c r="B466" s="6">
        <v>2905161000</v>
      </c>
      <c r="C466" s="6" t="s">
        <v>277</v>
      </c>
      <c r="D466" s="7">
        <v>136048.70000000001</v>
      </c>
      <c r="E466" s="7">
        <v>23995.3</v>
      </c>
      <c r="F466" s="8">
        <f t="shared" si="7"/>
        <v>-112053.40000000001</v>
      </c>
      <c r="G466" t="str">
        <f>IF(표1[[#This Row],[diff]]&gt;0,"import","export")</f>
        <v>export</v>
      </c>
    </row>
    <row r="467" spans="1:7" x14ac:dyDescent="0.3">
      <c r="A467" s="6">
        <v>2024</v>
      </c>
      <c r="B467" s="6">
        <v>2905310000</v>
      </c>
      <c r="C467" s="6" t="s">
        <v>278</v>
      </c>
      <c r="D467" s="7">
        <v>229243.4</v>
      </c>
      <c r="E467" s="7">
        <v>384521.5</v>
      </c>
      <c r="F467" s="8">
        <f t="shared" si="7"/>
        <v>155278.1</v>
      </c>
      <c r="G467" t="str">
        <f>IF(표1[[#This Row],[diff]]&gt;0,"import","export")</f>
        <v>import</v>
      </c>
    </row>
    <row r="468" spans="1:7" x14ac:dyDescent="0.3">
      <c r="A468" s="6">
        <v>2024</v>
      </c>
      <c r="B468" s="6">
        <v>2905320000</v>
      </c>
      <c r="C468" s="6" t="s">
        <v>279</v>
      </c>
      <c r="D468" s="7">
        <v>117668.2</v>
      </c>
      <c r="E468" s="7">
        <v>19224.7</v>
      </c>
      <c r="F468" s="8">
        <f t="shared" si="7"/>
        <v>-98443.5</v>
      </c>
      <c r="G468" t="str">
        <f>IF(표1[[#This Row],[diff]]&gt;0,"import","export")</f>
        <v>export</v>
      </c>
    </row>
    <row r="469" spans="1:7" x14ac:dyDescent="0.3">
      <c r="A469" s="6">
        <v>2024</v>
      </c>
      <c r="B469" s="6">
        <v>2907111000</v>
      </c>
      <c r="C469" s="6" t="s">
        <v>280</v>
      </c>
      <c r="D469" s="7">
        <v>95763.8</v>
      </c>
      <c r="E469" s="7">
        <v>112659.9</v>
      </c>
      <c r="F469" s="8">
        <f t="shared" si="7"/>
        <v>16896.099999999991</v>
      </c>
      <c r="G469" t="str">
        <f>IF(표1[[#This Row],[diff]]&gt;0,"import","export")</f>
        <v>import</v>
      </c>
    </row>
    <row r="470" spans="1:7" x14ac:dyDescent="0.3">
      <c r="A470" s="6">
        <v>2024</v>
      </c>
      <c r="B470" s="6">
        <v>2907231000</v>
      </c>
      <c r="C470" s="6" t="s">
        <v>281</v>
      </c>
      <c r="D470" s="7">
        <v>256967.7</v>
      </c>
      <c r="E470" s="7">
        <v>74506.100000000006</v>
      </c>
      <c r="F470" s="8">
        <f t="shared" si="7"/>
        <v>-182461.6</v>
      </c>
      <c r="G470" t="str">
        <f>IF(표1[[#This Row],[diff]]&gt;0,"import","export")</f>
        <v>export</v>
      </c>
    </row>
    <row r="471" spans="1:7" x14ac:dyDescent="0.3">
      <c r="A471" s="6">
        <v>2024</v>
      </c>
      <c r="B471" s="6">
        <v>2909192000</v>
      </c>
      <c r="C471" s="6" t="s">
        <v>282</v>
      </c>
      <c r="D471" s="7">
        <v>96826.3</v>
      </c>
      <c r="E471" s="7">
        <v>72154.100000000006</v>
      </c>
      <c r="F471" s="8">
        <f t="shared" si="7"/>
        <v>-24672.199999999997</v>
      </c>
      <c r="G471" t="str">
        <f>IF(표1[[#This Row],[diff]]&gt;0,"import","export")</f>
        <v>export</v>
      </c>
    </row>
    <row r="472" spans="1:7" x14ac:dyDescent="0.3">
      <c r="A472" s="6">
        <v>2024</v>
      </c>
      <c r="B472" s="6">
        <v>2910100000</v>
      </c>
      <c r="C472" s="6" t="s">
        <v>283</v>
      </c>
      <c r="D472" s="6">
        <v>40.4</v>
      </c>
      <c r="E472" s="6">
        <v>51.9</v>
      </c>
      <c r="F472" s="8">
        <f t="shared" si="7"/>
        <v>11.5</v>
      </c>
      <c r="G472" t="str">
        <f>IF(표1[[#This Row],[diff]]&gt;0,"import","export")</f>
        <v>import</v>
      </c>
    </row>
    <row r="473" spans="1:7" x14ac:dyDescent="0.3">
      <c r="A473" s="6">
        <v>2024</v>
      </c>
      <c r="B473" s="6">
        <v>2910200000</v>
      </c>
      <c r="C473" s="6" t="s">
        <v>284</v>
      </c>
      <c r="D473" s="7">
        <v>42678.1</v>
      </c>
      <c r="E473" s="7">
        <v>56510.9</v>
      </c>
      <c r="F473" s="8">
        <f t="shared" si="7"/>
        <v>13832.800000000003</v>
      </c>
      <c r="G473" t="str">
        <f>IF(표1[[#This Row],[diff]]&gt;0,"import","export")</f>
        <v>import</v>
      </c>
    </row>
    <row r="474" spans="1:7" x14ac:dyDescent="0.3">
      <c r="A474" s="6">
        <v>2024</v>
      </c>
      <c r="B474" s="6">
        <v>2912110000</v>
      </c>
      <c r="C474" s="6" t="s">
        <v>285</v>
      </c>
      <c r="D474" s="6">
        <v>85.6</v>
      </c>
      <c r="E474" s="6">
        <v>346.8</v>
      </c>
      <c r="F474" s="8">
        <f t="shared" si="7"/>
        <v>261.20000000000005</v>
      </c>
      <c r="G474" t="str">
        <f>IF(표1[[#This Row],[diff]]&gt;0,"import","export")</f>
        <v>import</v>
      </c>
    </row>
    <row r="475" spans="1:7" x14ac:dyDescent="0.3">
      <c r="A475" s="6">
        <v>2024</v>
      </c>
      <c r="B475" s="6">
        <v>2912120000</v>
      </c>
      <c r="C475" s="6" t="s">
        <v>286</v>
      </c>
      <c r="D475" s="6">
        <v>0.4</v>
      </c>
      <c r="E475" s="6">
        <v>37.9</v>
      </c>
      <c r="F475" s="8">
        <f t="shared" si="7"/>
        <v>37.5</v>
      </c>
      <c r="G475" t="str">
        <f>IF(표1[[#This Row],[diff]]&gt;0,"import","export")</f>
        <v>import</v>
      </c>
    </row>
    <row r="476" spans="1:7" x14ac:dyDescent="0.3">
      <c r="A476" s="6">
        <v>2024</v>
      </c>
      <c r="B476" s="6">
        <v>2912193000</v>
      </c>
      <c r="C476" s="6" t="s">
        <v>287</v>
      </c>
      <c r="D476" s="7">
        <v>4900</v>
      </c>
      <c r="E476" s="6">
        <v>459.2</v>
      </c>
      <c r="F476" s="8">
        <f t="shared" si="7"/>
        <v>-4440.8</v>
      </c>
      <c r="G476" t="str">
        <f>IF(표1[[#This Row],[diff]]&gt;0,"import","export")</f>
        <v>export</v>
      </c>
    </row>
    <row r="477" spans="1:7" x14ac:dyDescent="0.3">
      <c r="A477" s="6">
        <v>2024</v>
      </c>
      <c r="B477" s="6">
        <v>2914110000</v>
      </c>
      <c r="C477" s="6" t="s">
        <v>288</v>
      </c>
      <c r="D477" s="7">
        <v>133358.79999999999</v>
      </c>
      <c r="E477" s="7">
        <v>2017.6</v>
      </c>
      <c r="F477" s="8">
        <f t="shared" si="7"/>
        <v>-131341.19999999998</v>
      </c>
      <c r="G477" t="str">
        <f>IF(표1[[#This Row],[diff]]&gt;0,"import","export")</f>
        <v>export</v>
      </c>
    </row>
    <row r="478" spans="1:7" x14ac:dyDescent="0.3">
      <c r="A478" s="6">
        <v>2024</v>
      </c>
      <c r="B478" s="6">
        <v>2914221000</v>
      </c>
      <c r="C478" s="6" t="s">
        <v>289</v>
      </c>
      <c r="D478" s="6">
        <v>150.69999999999999</v>
      </c>
      <c r="E478" s="7">
        <v>8026.6</v>
      </c>
      <c r="F478" s="8">
        <f t="shared" si="7"/>
        <v>7875.9000000000005</v>
      </c>
      <c r="G478" t="str">
        <f>IF(표1[[#This Row],[diff]]&gt;0,"import","export")</f>
        <v>import</v>
      </c>
    </row>
    <row r="479" spans="1:7" x14ac:dyDescent="0.3">
      <c r="A479" s="6">
        <v>2024</v>
      </c>
      <c r="B479" s="6">
        <v>2915210000</v>
      </c>
      <c r="C479" s="6" t="s">
        <v>290</v>
      </c>
      <c r="D479" s="7">
        <v>149031.4</v>
      </c>
      <c r="E479" s="7">
        <v>101764</v>
      </c>
      <c r="F479" s="8">
        <f t="shared" si="7"/>
        <v>-47267.399999999994</v>
      </c>
      <c r="G479" t="str">
        <f>IF(표1[[#This Row],[diff]]&gt;0,"import","export")</f>
        <v>export</v>
      </c>
    </row>
    <row r="480" spans="1:7" x14ac:dyDescent="0.3">
      <c r="A480" s="6">
        <v>2024</v>
      </c>
      <c r="B480" s="6">
        <v>2915320000</v>
      </c>
      <c r="C480" s="6" t="s">
        <v>291</v>
      </c>
      <c r="D480" s="7">
        <v>110434.1</v>
      </c>
      <c r="E480" s="7">
        <v>34632.199999999997</v>
      </c>
      <c r="F480" s="8">
        <f t="shared" si="7"/>
        <v>-75801.900000000009</v>
      </c>
      <c r="G480" t="str">
        <f>IF(표1[[#This Row],[diff]]&gt;0,"import","export")</f>
        <v>export</v>
      </c>
    </row>
    <row r="481" spans="1:7" x14ac:dyDescent="0.3">
      <c r="A481" s="6">
        <v>2024</v>
      </c>
      <c r="B481" s="6">
        <v>2916111000</v>
      </c>
      <c r="C481" s="6" t="s">
        <v>292</v>
      </c>
      <c r="D481" s="7">
        <v>22865.1</v>
      </c>
      <c r="E481" s="7">
        <v>38428</v>
      </c>
      <c r="F481" s="8">
        <f t="shared" si="7"/>
        <v>15562.900000000001</v>
      </c>
      <c r="G481" t="str">
        <f>IF(표1[[#This Row],[diff]]&gt;0,"import","export")</f>
        <v>import</v>
      </c>
    </row>
    <row r="482" spans="1:7" x14ac:dyDescent="0.3">
      <c r="A482" s="6">
        <v>2024</v>
      </c>
      <c r="B482" s="6">
        <v>2916121000</v>
      </c>
      <c r="C482" s="6" t="s">
        <v>293</v>
      </c>
      <c r="D482" s="7">
        <v>11014.3</v>
      </c>
      <c r="E482" s="7">
        <v>14205.3</v>
      </c>
      <c r="F482" s="8">
        <f t="shared" si="7"/>
        <v>3191</v>
      </c>
      <c r="G482" t="str">
        <f>IF(표1[[#This Row],[diff]]&gt;0,"import","export")</f>
        <v>import</v>
      </c>
    </row>
    <row r="483" spans="1:7" x14ac:dyDescent="0.3">
      <c r="A483" s="6">
        <v>2024</v>
      </c>
      <c r="B483" s="6">
        <v>2916141000</v>
      </c>
      <c r="C483" s="6" t="s">
        <v>294</v>
      </c>
      <c r="D483" s="7">
        <v>20951.7</v>
      </c>
      <c r="E483" s="7">
        <v>55817.8</v>
      </c>
      <c r="F483" s="8">
        <f t="shared" si="7"/>
        <v>34866.100000000006</v>
      </c>
      <c r="G483" t="str">
        <f>IF(표1[[#This Row],[diff]]&gt;0,"import","export")</f>
        <v>import</v>
      </c>
    </row>
    <row r="484" spans="1:7" x14ac:dyDescent="0.3">
      <c r="A484" s="6">
        <v>2024</v>
      </c>
      <c r="B484" s="6">
        <v>2917140000</v>
      </c>
      <c r="C484" s="6" t="s">
        <v>295</v>
      </c>
      <c r="D484" s="7">
        <v>39184.800000000003</v>
      </c>
      <c r="E484" s="7">
        <v>4180.2</v>
      </c>
      <c r="F484" s="8">
        <f t="shared" si="7"/>
        <v>-35004.600000000006</v>
      </c>
      <c r="G484" t="str">
        <f>IF(표1[[#This Row],[diff]]&gt;0,"import","export")</f>
        <v>export</v>
      </c>
    </row>
    <row r="485" spans="1:7" x14ac:dyDescent="0.3">
      <c r="A485" s="6">
        <v>2024</v>
      </c>
      <c r="B485" s="6">
        <v>2917350000</v>
      </c>
      <c r="C485" s="6" t="s">
        <v>296</v>
      </c>
      <c r="D485" s="7">
        <v>101896.2</v>
      </c>
      <c r="E485" s="7">
        <v>2598.1999999999998</v>
      </c>
      <c r="F485" s="8">
        <f t="shared" si="7"/>
        <v>-99298</v>
      </c>
      <c r="G485" t="str">
        <f>IF(표1[[#This Row],[diff]]&gt;0,"import","export")</f>
        <v>export</v>
      </c>
    </row>
    <row r="486" spans="1:7" x14ac:dyDescent="0.3">
      <c r="A486" s="6">
        <v>2024</v>
      </c>
      <c r="B486" s="6">
        <v>2917361000</v>
      </c>
      <c r="C486" s="6" t="s">
        <v>297</v>
      </c>
      <c r="D486" s="7">
        <v>2198265.1</v>
      </c>
      <c r="E486" s="6">
        <v>975.6</v>
      </c>
      <c r="F486" s="8">
        <f t="shared" si="7"/>
        <v>-2197289.5</v>
      </c>
      <c r="G486" t="str">
        <f>IF(표1[[#This Row],[diff]]&gt;0,"import","export")</f>
        <v>export</v>
      </c>
    </row>
    <row r="487" spans="1:7" x14ac:dyDescent="0.3">
      <c r="A487" s="6">
        <v>2024</v>
      </c>
      <c r="B487" s="6">
        <v>2917370000</v>
      </c>
      <c r="C487" s="6" t="s">
        <v>298</v>
      </c>
      <c r="D487" s="7">
        <v>52785.7</v>
      </c>
      <c r="E487" s="6">
        <v>430.3</v>
      </c>
      <c r="F487" s="8">
        <f t="shared" si="7"/>
        <v>-52355.399999999994</v>
      </c>
      <c r="G487" t="str">
        <f>IF(표1[[#This Row],[diff]]&gt;0,"import","export")</f>
        <v>export</v>
      </c>
    </row>
    <row r="488" spans="1:7" x14ac:dyDescent="0.3">
      <c r="A488" s="6">
        <v>2024</v>
      </c>
      <c r="B488" s="6">
        <v>2921411000</v>
      </c>
      <c r="C488" s="6" t="s">
        <v>299</v>
      </c>
      <c r="D488" s="6">
        <v>0.1</v>
      </c>
      <c r="E488" s="7">
        <v>15209</v>
      </c>
      <c r="F488" s="8">
        <f t="shared" si="7"/>
        <v>15208.9</v>
      </c>
      <c r="G488" t="str">
        <f>IF(표1[[#This Row],[diff]]&gt;0,"import","export")</f>
        <v>import</v>
      </c>
    </row>
    <row r="489" spans="1:7" x14ac:dyDescent="0.3">
      <c r="A489" s="6">
        <v>2024</v>
      </c>
      <c r="B489" s="6">
        <v>2922111000</v>
      </c>
      <c r="C489" s="6" t="s">
        <v>300</v>
      </c>
      <c r="D489" s="7">
        <v>1692.1</v>
      </c>
      <c r="E489" s="7">
        <v>7347.1</v>
      </c>
      <c r="F489" s="8">
        <f t="shared" si="7"/>
        <v>5655</v>
      </c>
      <c r="G489" t="str">
        <f>IF(표1[[#This Row],[diff]]&gt;0,"import","export")</f>
        <v>import</v>
      </c>
    </row>
    <row r="490" spans="1:7" x14ac:dyDescent="0.3">
      <c r="A490" s="6">
        <v>2024</v>
      </c>
      <c r="B490" s="6">
        <v>2922121000</v>
      </c>
      <c r="C490" s="6" t="s">
        <v>301</v>
      </c>
      <c r="D490" s="7">
        <v>1340.8</v>
      </c>
      <c r="E490" s="7">
        <v>3891.1</v>
      </c>
      <c r="F490" s="8">
        <f t="shared" si="7"/>
        <v>2550.3000000000002</v>
      </c>
      <c r="G490" t="str">
        <f>IF(표1[[#This Row],[diff]]&gt;0,"import","export")</f>
        <v>import</v>
      </c>
    </row>
    <row r="491" spans="1:7" x14ac:dyDescent="0.3">
      <c r="A491" s="6">
        <v>2024</v>
      </c>
      <c r="B491" s="6">
        <v>2922150000</v>
      </c>
      <c r="C491" s="6" t="s">
        <v>302</v>
      </c>
      <c r="D491" s="7">
        <v>2763.8</v>
      </c>
      <c r="E491" s="7">
        <v>10779.6</v>
      </c>
      <c r="F491" s="8">
        <f t="shared" si="7"/>
        <v>8015.8</v>
      </c>
      <c r="G491" t="str">
        <f>IF(표1[[#This Row],[diff]]&gt;0,"import","export")</f>
        <v>import</v>
      </c>
    </row>
    <row r="492" spans="1:7" x14ac:dyDescent="0.3">
      <c r="A492" s="6">
        <v>2024</v>
      </c>
      <c r="B492" s="6">
        <v>2926100000</v>
      </c>
      <c r="C492" s="6" t="s">
        <v>303</v>
      </c>
      <c r="D492" s="7">
        <v>175916</v>
      </c>
      <c r="E492" s="7">
        <v>184601.7</v>
      </c>
      <c r="F492" s="8">
        <f t="shared" si="7"/>
        <v>8685.7000000000116</v>
      </c>
      <c r="G492" t="str">
        <f>IF(표1[[#This Row],[diff]]&gt;0,"import","export")</f>
        <v>import</v>
      </c>
    </row>
    <row r="493" spans="1:7" x14ac:dyDescent="0.3">
      <c r="A493" s="6">
        <v>2024</v>
      </c>
      <c r="B493" s="6">
        <v>2929101000</v>
      </c>
      <c r="C493" s="6" t="s">
        <v>304</v>
      </c>
      <c r="D493" s="7">
        <v>300874.09999999998</v>
      </c>
      <c r="E493" s="7">
        <v>2306.5</v>
      </c>
      <c r="F493" s="8">
        <f t="shared" si="7"/>
        <v>-298567.59999999998</v>
      </c>
      <c r="G493" t="str">
        <f>IF(표1[[#This Row],[diff]]&gt;0,"import","export")</f>
        <v>export</v>
      </c>
    </row>
    <row r="494" spans="1:7" x14ac:dyDescent="0.3">
      <c r="A494" s="6">
        <v>2024</v>
      </c>
      <c r="B494" s="6">
        <v>2929102000</v>
      </c>
      <c r="C494" s="6" t="s">
        <v>305</v>
      </c>
      <c r="D494" s="7">
        <v>132592.79999999999</v>
      </c>
      <c r="E494" s="7">
        <v>1672.6</v>
      </c>
      <c r="F494" s="8">
        <f t="shared" si="7"/>
        <v>-130920.19999999998</v>
      </c>
      <c r="G494" t="str">
        <f>IF(표1[[#This Row],[diff]]&gt;0,"import","export")</f>
        <v>export</v>
      </c>
    </row>
    <row r="495" spans="1:7" x14ac:dyDescent="0.3">
      <c r="A495" s="6">
        <v>2024</v>
      </c>
      <c r="B495" s="6">
        <v>2933710000</v>
      </c>
      <c r="C495" s="6" t="s">
        <v>306</v>
      </c>
      <c r="D495" s="6">
        <v>34</v>
      </c>
      <c r="E495" s="7">
        <v>16528.5</v>
      </c>
      <c r="F495" s="8">
        <f t="shared" si="7"/>
        <v>16494.5</v>
      </c>
      <c r="G495" t="str">
        <f>IF(표1[[#This Row],[diff]]&gt;0,"import","export")</f>
        <v>import</v>
      </c>
    </row>
    <row r="496" spans="1:7" x14ac:dyDescent="0.3">
      <c r="A496" s="6">
        <v>2024</v>
      </c>
      <c r="B496" s="6">
        <v>3901101000</v>
      </c>
      <c r="C496" s="6" t="s">
        <v>307</v>
      </c>
      <c r="D496" s="7">
        <v>239921.9</v>
      </c>
      <c r="E496" s="7">
        <v>34515.4</v>
      </c>
      <c r="F496" s="8">
        <f t="shared" si="7"/>
        <v>-205406.5</v>
      </c>
      <c r="G496" t="str">
        <f>IF(표1[[#This Row],[diff]]&gt;0,"import","export")</f>
        <v>export</v>
      </c>
    </row>
    <row r="497" spans="1:7" x14ac:dyDescent="0.3">
      <c r="A497" s="6">
        <v>2024</v>
      </c>
      <c r="B497" s="6">
        <v>3902100000</v>
      </c>
      <c r="C497" s="6" t="s">
        <v>308</v>
      </c>
      <c r="D497" s="7">
        <v>1918054.3</v>
      </c>
      <c r="E497" s="7">
        <v>29943.9</v>
      </c>
      <c r="F497" s="8">
        <f t="shared" si="7"/>
        <v>-1888110.4000000001</v>
      </c>
      <c r="G497" t="str">
        <f>IF(표1[[#This Row],[diff]]&gt;0,"import","export")</f>
        <v>export</v>
      </c>
    </row>
    <row r="498" spans="1:7" x14ac:dyDescent="0.3">
      <c r="A498" s="6">
        <v>2024</v>
      </c>
      <c r="B498" s="6">
        <v>3902200000</v>
      </c>
      <c r="C498" s="6" t="s">
        <v>309</v>
      </c>
      <c r="D498" s="7">
        <v>209117.5</v>
      </c>
      <c r="E498" s="7">
        <v>1861</v>
      </c>
      <c r="F498" s="8">
        <f t="shared" si="7"/>
        <v>-207256.5</v>
      </c>
      <c r="G498" t="str">
        <f>IF(표1[[#This Row],[diff]]&gt;0,"import","export")</f>
        <v>export</v>
      </c>
    </row>
    <row r="499" spans="1:7" x14ac:dyDescent="0.3">
      <c r="A499" s="6">
        <v>2024</v>
      </c>
      <c r="B499" s="6">
        <v>3903200000</v>
      </c>
      <c r="C499" s="6" t="s">
        <v>310</v>
      </c>
      <c r="D499" s="7">
        <v>186685.1</v>
      </c>
      <c r="E499" s="7">
        <v>7241.7</v>
      </c>
      <c r="F499" s="8">
        <f t="shared" si="7"/>
        <v>-179443.4</v>
      </c>
      <c r="G499" t="str">
        <f>IF(표1[[#This Row],[diff]]&gt;0,"import","export")</f>
        <v>export</v>
      </c>
    </row>
    <row r="500" spans="1:7" x14ac:dyDescent="0.3">
      <c r="A500" s="6">
        <v>2024</v>
      </c>
      <c r="B500" s="6">
        <v>3903300000</v>
      </c>
      <c r="C500" s="6" t="s">
        <v>311</v>
      </c>
      <c r="D500" s="7">
        <v>1096781.8999999999</v>
      </c>
      <c r="E500" s="7">
        <v>14563.3</v>
      </c>
      <c r="F500" s="8">
        <f t="shared" si="7"/>
        <v>-1082218.5999999999</v>
      </c>
      <c r="G500" t="str">
        <f>IF(표1[[#This Row],[diff]]&gt;0,"import","export")</f>
        <v>export</v>
      </c>
    </row>
    <row r="501" spans="1:7" x14ac:dyDescent="0.3">
      <c r="A501" s="6">
        <v>2024</v>
      </c>
      <c r="B501" s="6">
        <v>3903901000</v>
      </c>
      <c r="C501" s="6" t="s">
        <v>312</v>
      </c>
      <c r="D501" s="7">
        <v>281269.40000000002</v>
      </c>
      <c r="E501" s="7">
        <v>4855.3999999999996</v>
      </c>
      <c r="F501" s="8">
        <f t="shared" si="7"/>
        <v>-276414</v>
      </c>
      <c r="G501" t="str">
        <f>IF(표1[[#This Row],[diff]]&gt;0,"import","export")</f>
        <v>export</v>
      </c>
    </row>
    <row r="502" spans="1:7" x14ac:dyDescent="0.3">
      <c r="A502" s="6">
        <v>2024</v>
      </c>
      <c r="B502" s="6">
        <v>3906100000</v>
      </c>
      <c r="C502" s="6" t="s">
        <v>313</v>
      </c>
      <c r="D502" s="7">
        <v>120788.4</v>
      </c>
      <c r="E502" s="7">
        <v>5928.7</v>
      </c>
      <c r="F502" s="8">
        <f t="shared" si="7"/>
        <v>-114859.7</v>
      </c>
      <c r="G502" t="str">
        <f>IF(표1[[#This Row],[diff]]&gt;0,"import","export")</f>
        <v>export</v>
      </c>
    </row>
    <row r="503" spans="1:7" x14ac:dyDescent="0.3">
      <c r="A503" s="6">
        <v>2024</v>
      </c>
      <c r="B503" s="6">
        <v>3907400000</v>
      </c>
      <c r="C503" s="6" t="s">
        <v>314</v>
      </c>
      <c r="D503" s="7">
        <v>692931</v>
      </c>
      <c r="E503" s="7">
        <v>95754.1</v>
      </c>
      <c r="F503" s="8">
        <f t="shared" si="7"/>
        <v>-597176.9</v>
      </c>
      <c r="G503" t="str">
        <f>IF(표1[[#This Row],[diff]]&gt;0,"import","export")</f>
        <v>export</v>
      </c>
    </row>
    <row r="504" spans="1:7" x14ac:dyDescent="0.3">
      <c r="A504" s="6">
        <v>2024</v>
      </c>
      <c r="B504" s="6">
        <v>3909500000</v>
      </c>
      <c r="C504" s="6" t="s">
        <v>315</v>
      </c>
      <c r="D504" s="7">
        <v>72555.100000000006</v>
      </c>
      <c r="E504" s="7">
        <v>29261.5</v>
      </c>
      <c r="F504" s="8">
        <f t="shared" si="7"/>
        <v>-43293.600000000006</v>
      </c>
      <c r="G504" t="str">
        <f>IF(표1[[#This Row],[diff]]&gt;0,"import","export")</f>
        <v>export</v>
      </c>
    </row>
    <row r="505" spans="1:7" x14ac:dyDescent="0.3">
      <c r="A505" s="6">
        <v>2025</v>
      </c>
      <c r="B505" s="6">
        <v>2207200000</v>
      </c>
      <c r="C505" s="6" t="s">
        <v>331</v>
      </c>
      <c r="D505" s="7">
        <v>1658.5</v>
      </c>
      <c r="E505" s="7">
        <v>179893.3</v>
      </c>
      <c r="F505" s="8">
        <f t="shared" si="7"/>
        <v>178234.8</v>
      </c>
      <c r="G505" t="str">
        <f>IF(표1[[#This Row],[diff]]&gt;0,"import","export")</f>
        <v>import</v>
      </c>
    </row>
    <row r="506" spans="1:7" x14ac:dyDescent="0.3">
      <c r="A506" s="6">
        <v>2025</v>
      </c>
      <c r="B506" s="6">
        <v>2901291000</v>
      </c>
      <c r="C506" s="6" t="s">
        <v>261</v>
      </c>
      <c r="D506" s="6">
        <v>20.3</v>
      </c>
      <c r="E506" s="7">
        <v>30211.8</v>
      </c>
      <c r="F506" s="8">
        <f t="shared" si="7"/>
        <v>30191.5</v>
      </c>
      <c r="G506" t="str">
        <f>IF(표1[[#This Row],[diff]]&gt;0,"import","export")</f>
        <v>import</v>
      </c>
    </row>
    <row r="507" spans="1:7" x14ac:dyDescent="0.3">
      <c r="A507" s="6">
        <v>2025</v>
      </c>
      <c r="B507" s="6">
        <v>2901292000</v>
      </c>
      <c r="C507" s="6" t="s">
        <v>262</v>
      </c>
      <c r="D507" s="6">
        <v>318.7</v>
      </c>
      <c r="E507" s="7">
        <v>100621.1</v>
      </c>
      <c r="F507" s="8">
        <f t="shared" si="7"/>
        <v>100302.40000000001</v>
      </c>
      <c r="G507" t="str">
        <f>IF(표1[[#This Row],[diff]]&gt;0,"import","export")</f>
        <v>import</v>
      </c>
    </row>
    <row r="508" spans="1:7" x14ac:dyDescent="0.3">
      <c r="A508" s="6">
        <v>2025</v>
      </c>
      <c r="B508" s="6">
        <v>2902110000</v>
      </c>
      <c r="C508" s="6" t="s">
        <v>263</v>
      </c>
      <c r="D508" s="6">
        <v>648.4</v>
      </c>
      <c r="E508" s="7">
        <v>5154.3</v>
      </c>
      <c r="F508" s="8">
        <f t="shared" si="7"/>
        <v>4505.9000000000005</v>
      </c>
      <c r="G508" t="str">
        <f>IF(표1[[#This Row],[diff]]&gt;0,"import","export")</f>
        <v>import</v>
      </c>
    </row>
    <row r="509" spans="1:7" x14ac:dyDescent="0.3">
      <c r="A509" s="6">
        <v>2025</v>
      </c>
      <c r="B509" s="6">
        <v>2902200000</v>
      </c>
      <c r="C509" s="6" t="s">
        <v>264</v>
      </c>
      <c r="D509" s="7">
        <v>3026351.8</v>
      </c>
      <c r="E509" s="7">
        <v>97976.2</v>
      </c>
      <c r="F509" s="8">
        <f t="shared" si="7"/>
        <v>-2928375.5999999996</v>
      </c>
      <c r="G509" t="str">
        <f>IF(표1[[#This Row],[diff]]&gt;0,"import","export")</f>
        <v>export</v>
      </c>
    </row>
    <row r="510" spans="1:7" x14ac:dyDescent="0.3">
      <c r="A510" s="6">
        <v>2025</v>
      </c>
      <c r="B510" s="6">
        <v>2902300000</v>
      </c>
      <c r="C510" s="6" t="s">
        <v>265</v>
      </c>
      <c r="D510" s="7">
        <v>535720.4</v>
      </c>
      <c r="E510" s="7">
        <v>610278</v>
      </c>
      <c r="F510" s="8">
        <f t="shared" si="7"/>
        <v>74557.599999999977</v>
      </c>
      <c r="G510" t="str">
        <f>IF(표1[[#This Row],[diff]]&gt;0,"import","export")</f>
        <v>import</v>
      </c>
    </row>
    <row r="511" spans="1:7" x14ac:dyDescent="0.3">
      <c r="A511" s="6">
        <v>2025</v>
      </c>
      <c r="B511" s="6">
        <v>2902410000</v>
      </c>
      <c r="C511" s="6" t="s">
        <v>266</v>
      </c>
      <c r="D511" s="7">
        <v>90993.3</v>
      </c>
      <c r="E511" s="7">
        <v>3918.1</v>
      </c>
      <c r="F511" s="8">
        <f t="shared" si="7"/>
        <v>-87075.199999999997</v>
      </c>
      <c r="G511" t="str">
        <f>IF(표1[[#This Row],[diff]]&gt;0,"import","export")</f>
        <v>export</v>
      </c>
    </row>
    <row r="512" spans="1:7" x14ac:dyDescent="0.3">
      <c r="A512" s="6">
        <v>2025</v>
      </c>
      <c r="B512" s="6">
        <v>2902420000</v>
      </c>
      <c r="C512" s="6" t="s">
        <v>267</v>
      </c>
      <c r="D512" s="6">
        <v>120</v>
      </c>
      <c r="E512" s="6">
        <v>0.1</v>
      </c>
      <c r="F512" s="8">
        <f t="shared" si="7"/>
        <v>-119.9</v>
      </c>
      <c r="G512" t="str">
        <f>IF(표1[[#This Row],[diff]]&gt;0,"import","export")</f>
        <v>export</v>
      </c>
    </row>
    <row r="513" spans="1:7" x14ac:dyDescent="0.3">
      <c r="A513" s="6">
        <v>2025</v>
      </c>
      <c r="B513" s="6">
        <v>2902430000</v>
      </c>
      <c r="C513" s="6" t="s">
        <v>268</v>
      </c>
      <c r="D513" s="7">
        <v>4939749.5999999996</v>
      </c>
      <c r="E513" s="7">
        <v>92301.1</v>
      </c>
      <c r="F513" s="8">
        <f t="shared" si="7"/>
        <v>-4847448.5</v>
      </c>
      <c r="G513" t="str">
        <f>IF(표1[[#This Row],[diff]]&gt;0,"import","export")</f>
        <v>export</v>
      </c>
    </row>
    <row r="514" spans="1:7" x14ac:dyDescent="0.3">
      <c r="A514" s="6">
        <v>2025</v>
      </c>
      <c r="B514" s="6">
        <v>2902500000</v>
      </c>
      <c r="C514" s="6" t="s">
        <v>269</v>
      </c>
      <c r="D514" s="7">
        <v>280523</v>
      </c>
      <c r="E514" s="7">
        <v>581273.9</v>
      </c>
      <c r="F514" s="8">
        <f t="shared" si="7"/>
        <v>300750.90000000002</v>
      </c>
      <c r="G514" t="str">
        <f>IF(표1[[#This Row],[diff]]&gt;0,"import","export")</f>
        <v>import</v>
      </c>
    </row>
    <row r="515" spans="1:7" x14ac:dyDescent="0.3">
      <c r="A515" s="6">
        <v>2025</v>
      </c>
      <c r="B515" s="6">
        <v>2902600000</v>
      </c>
      <c r="C515" s="6" t="s">
        <v>270</v>
      </c>
      <c r="D515" s="6">
        <v>0</v>
      </c>
      <c r="E515" s="6">
        <v>21</v>
      </c>
      <c r="F515" s="8">
        <f t="shared" ref="F515:F560" si="8">E515-D515</f>
        <v>21</v>
      </c>
      <c r="G515" t="str">
        <f>IF(표1[[#This Row],[diff]]&gt;0,"import","export")</f>
        <v>import</v>
      </c>
    </row>
    <row r="516" spans="1:7" x14ac:dyDescent="0.3">
      <c r="A516" s="6">
        <v>2025</v>
      </c>
      <c r="B516" s="6">
        <v>2902700000</v>
      </c>
      <c r="C516" s="6" t="s">
        <v>271</v>
      </c>
      <c r="D516" s="7">
        <v>173699.4</v>
      </c>
      <c r="E516" s="7">
        <v>8882.1</v>
      </c>
      <c r="F516" s="8">
        <f t="shared" si="8"/>
        <v>-164817.29999999999</v>
      </c>
      <c r="G516" t="str">
        <f>IF(표1[[#This Row],[diff]]&gt;0,"import","export")</f>
        <v>export</v>
      </c>
    </row>
    <row r="517" spans="1:7" x14ac:dyDescent="0.3">
      <c r="A517" s="6">
        <v>2025</v>
      </c>
      <c r="B517" s="6">
        <v>2903150000</v>
      </c>
      <c r="C517" s="6" t="s">
        <v>272</v>
      </c>
      <c r="D517" s="7">
        <v>569259.19999999995</v>
      </c>
      <c r="E517" s="7">
        <v>43555.1</v>
      </c>
      <c r="F517" s="8">
        <f t="shared" si="8"/>
        <v>-525704.1</v>
      </c>
      <c r="G517" t="str">
        <f>IF(표1[[#This Row],[diff]]&gt;0,"import","export")</f>
        <v>export</v>
      </c>
    </row>
    <row r="518" spans="1:7" x14ac:dyDescent="0.3">
      <c r="A518" s="6">
        <v>2025</v>
      </c>
      <c r="B518" s="6">
        <v>2903210000</v>
      </c>
      <c r="C518" s="6" t="s">
        <v>273</v>
      </c>
      <c r="D518" s="7">
        <v>229212.7</v>
      </c>
      <c r="E518" s="7">
        <v>60173.2</v>
      </c>
      <c r="F518" s="8">
        <f t="shared" si="8"/>
        <v>-169039.5</v>
      </c>
      <c r="G518" t="str">
        <f>IF(표1[[#This Row],[diff]]&gt;0,"import","export")</f>
        <v>export</v>
      </c>
    </row>
    <row r="519" spans="1:7" x14ac:dyDescent="0.3">
      <c r="A519" s="6">
        <v>2025</v>
      </c>
      <c r="B519" s="6">
        <v>2905110000</v>
      </c>
      <c r="C519" s="6" t="s">
        <v>274</v>
      </c>
      <c r="D519" s="7">
        <v>1450.6</v>
      </c>
      <c r="E519" s="7">
        <v>1991015.6</v>
      </c>
      <c r="F519" s="8">
        <f t="shared" si="8"/>
        <v>1989565</v>
      </c>
      <c r="G519" t="str">
        <f>IF(표1[[#This Row],[diff]]&gt;0,"import","export")</f>
        <v>import</v>
      </c>
    </row>
    <row r="520" spans="1:7" x14ac:dyDescent="0.3">
      <c r="A520" s="6">
        <v>2025</v>
      </c>
      <c r="B520" s="6">
        <v>2905121000</v>
      </c>
      <c r="C520" s="6" t="s">
        <v>275</v>
      </c>
      <c r="D520" s="6">
        <v>243</v>
      </c>
      <c r="E520" s="7">
        <v>2730.7</v>
      </c>
      <c r="F520" s="8">
        <f t="shared" si="8"/>
        <v>2487.6999999999998</v>
      </c>
      <c r="G520" t="str">
        <f>IF(표1[[#This Row],[diff]]&gt;0,"import","export")</f>
        <v>import</v>
      </c>
    </row>
    <row r="521" spans="1:7" x14ac:dyDescent="0.3">
      <c r="A521" s="6">
        <v>2025</v>
      </c>
      <c r="B521" s="6">
        <v>2905130000</v>
      </c>
      <c r="C521" s="6" t="s">
        <v>276</v>
      </c>
      <c r="D521" s="6">
        <v>215.7</v>
      </c>
      <c r="E521" s="7">
        <v>67454.100000000006</v>
      </c>
      <c r="F521" s="8">
        <f t="shared" si="8"/>
        <v>67238.400000000009</v>
      </c>
      <c r="G521" t="str">
        <f>IF(표1[[#This Row],[diff]]&gt;0,"import","export")</f>
        <v>import</v>
      </c>
    </row>
    <row r="522" spans="1:7" x14ac:dyDescent="0.3">
      <c r="A522" s="6">
        <v>2025</v>
      </c>
      <c r="B522" s="6">
        <v>2905161000</v>
      </c>
      <c r="C522" s="6" t="s">
        <v>277</v>
      </c>
      <c r="D522" s="7">
        <v>17677.400000000001</v>
      </c>
      <c r="E522" s="7">
        <v>59285.4</v>
      </c>
      <c r="F522" s="8">
        <f t="shared" si="8"/>
        <v>41608</v>
      </c>
      <c r="G522" t="str">
        <f>IF(표1[[#This Row],[diff]]&gt;0,"import","export")</f>
        <v>import</v>
      </c>
    </row>
    <row r="523" spans="1:7" x14ac:dyDescent="0.3">
      <c r="A523" s="6">
        <v>2025</v>
      </c>
      <c r="B523" s="6">
        <v>2905310000</v>
      </c>
      <c r="C523" s="6" t="s">
        <v>278</v>
      </c>
      <c r="D523" s="7">
        <v>219949.9</v>
      </c>
      <c r="E523" s="7">
        <v>388764.6</v>
      </c>
      <c r="F523" s="8">
        <f t="shared" si="8"/>
        <v>168814.69999999998</v>
      </c>
      <c r="G523" t="str">
        <f>IF(표1[[#This Row],[diff]]&gt;0,"import","export")</f>
        <v>import</v>
      </c>
    </row>
    <row r="524" spans="1:7" x14ac:dyDescent="0.3">
      <c r="A524" s="6">
        <v>2025</v>
      </c>
      <c r="B524" s="6">
        <v>2905320000</v>
      </c>
      <c r="C524" s="6" t="s">
        <v>279</v>
      </c>
      <c r="D524" s="7">
        <v>116934.7</v>
      </c>
      <c r="E524" s="7">
        <v>18569.2</v>
      </c>
      <c r="F524" s="8">
        <f t="shared" si="8"/>
        <v>-98365.5</v>
      </c>
      <c r="G524" t="str">
        <f>IF(표1[[#This Row],[diff]]&gt;0,"import","export")</f>
        <v>export</v>
      </c>
    </row>
    <row r="525" spans="1:7" x14ac:dyDescent="0.3">
      <c r="A525" s="6">
        <v>2025</v>
      </c>
      <c r="B525" s="6">
        <v>2907111000</v>
      </c>
      <c r="C525" s="6" t="s">
        <v>280</v>
      </c>
      <c r="D525" s="7">
        <v>92034.6</v>
      </c>
      <c r="E525" s="7">
        <v>86760.2</v>
      </c>
      <c r="F525" s="8">
        <f t="shared" si="8"/>
        <v>-5274.4000000000087</v>
      </c>
      <c r="G525" t="str">
        <f>IF(표1[[#This Row],[diff]]&gt;0,"import","export")</f>
        <v>export</v>
      </c>
    </row>
    <row r="526" spans="1:7" x14ac:dyDescent="0.3">
      <c r="A526" s="6">
        <v>2025</v>
      </c>
      <c r="B526" s="6">
        <v>2907231000</v>
      </c>
      <c r="C526" s="6" t="s">
        <v>281</v>
      </c>
      <c r="D526" s="7">
        <v>252617.5</v>
      </c>
      <c r="E526" s="7">
        <v>45038.3</v>
      </c>
      <c r="F526" s="8">
        <f t="shared" si="8"/>
        <v>-207579.2</v>
      </c>
      <c r="G526" t="str">
        <f>IF(표1[[#This Row],[diff]]&gt;0,"import","export")</f>
        <v>export</v>
      </c>
    </row>
    <row r="527" spans="1:7" x14ac:dyDescent="0.3">
      <c r="A527" s="6">
        <v>2025</v>
      </c>
      <c r="B527" s="6">
        <v>2909192000</v>
      </c>
      <c r="C527" s="6" t="s">
        <v>282</v>
      </c>
      <c r="D527" s="7">
        <v>35576.9</v>
      </c>
      <c r="E527" s="7">
        <v>57758.400000000001</v>
      </c>
      <c r="F527" s="8">
        <f t="shared" si="8"/>
        <v>22181.5</v>
      </c>
      <c r="G527" t="str">
        <f>IF(표1[[#This Row],[diff]]&gt;0,"import","export")</f>
        <v>import</v>
      </c>
    </row>
    <row r="528" spans="1:7" x14ac:dyDescent="0.3">
      <c r="A528" s="6">
        <v>2025</v>
      </c>
      <c r="B528" s="6">
        <v>2910100000</v>
      </c>
      <c r="C528" s="6" t="s">
        <v>283</v>
      </c>
      <c r="D528" s="6">
        <v>36.299999999999997</v>
      </c>
      <c r="E528" s="6">
        <v>50.8</v>
      </c>
      <c r="F528" s="8">
        <f t="shared" si="8"/>
        <v>14.5</v>
      </c>
      <c r="G528" t="str">
        <f>IF(표1[[#This Row],[diff]]&gt;0,"import","export")</f>
        <v>import</v>
      </c>
    </row>
    <row r="529" spans="1:7" x14ac:dyDescent="0.3">
      <c r="A529" s="6">
        <v>2025</v>
      </c>
      <c r="B529" s="6">
        <v>2910200000</v>
      </c>
      <c r="C529" s="6" t="s">
        <v>284</v>
      </c>
      <c r="D529" s="7">
        <v>11957.9</v>
      </c>
      <c r="E529" s="7">
        <v>51458.5</v>
      </c>
      <c r="F529" s="8">
        <f t="shared" si="8"/>
        <v>39500.6</v>
      </c>
      <c r="G529" t="str">
        <f>IF(표1[[#This Row],[diff]]&gt;0,"import","export")</f>
        <v>import</v>
      </c>
    </row>
    <row r="530" spans="1:7" x14ac:dyDescent="0.3">
      <c r="A530" s="6">
        <v>2025</v>
      </c>
      <c r="B530" s="6">
        <v>2912110000</v>
      </c>
      <c r="C530" s="6" t="s">
        <v>285</v>
      </c>
      <c r="D530" s="6">
        <v>115.1</v>
      </c>
      <c r="E530" s="6">
        <v>374</v>
      </c>
      <c r="F530" s="8">
        <f t="shared" si="8"/>
        <v>258.89999999999998</v>
      </c>
      <c r="G530" t="str">
        <f>IF(표1[[#This Row],[diff]]&gt;0,"import","export")</f>
        <v>import</v>
      </c>
    </row>
    <row r="531" spans="1:7" x14ac:dyDescent="0.3">
      <c r="A531" s="6">
        <v>2025</v>
      </c>
      <c r="B531" s="6">
        <v>2912120000</v>
      </c>
      <c r="C531" s="6" t="s">
        <v>286</v>
      </c>
      <c r="D531" s="6">
        <v>0</v>
      </c>
      <c r="E531" s="6">
        <v>39.1</v>
      </c>
      <c r="F531" s="8">
        <f t="shared" si="8"/>
        <v>39.1</v>
      </c>
      <c r="G531" t="str">
        <f>IF(표1[[#This Row],[diff]]&gt;0,"import","export")</f>
        <v>import</v>
      </c>
    </row>
    <row r="532" spans="1:7" x14ac:dyDescent="0.3">
      <c r="A532" s="6">
        <v>2025</v>
      </c>
      <c r="B532" s="6">
        <v>2912193000</v>
      </c>
      <c r="C532" s="6" t="s">
        <v>287</v>
      </c>
      <c r="D532" s="6">
        <v>0</v>
      </c>
      <c r="E532" s="6">
        <v>106.6</v>
      </c>
      <c r="F532" s="8">
        <f t="shared" si="8"/>
        <v>106.6</v>
      </c>
      <c r="G532" t="str">
        <f>IF(표1[[#This Row],[diff]]&gt;0,"import","export")</f>
        <v>import</v>
      </c>
    </row>
    <row r="533" spans="1:7" x14ac:dyDescent="0.3">
      <c r="A533" s="6">
        <v>2025</v>
      </c>
      <c r="B533" s="6">
        <v>2914110000</v>
      </c>
      <c r="C533" s="6" t="s">
        <v>288</v>
      </c>
      <c r="D533" s="7">
        <v>159735.6</v>
      </c>
      <c r="E533" s="7">
        <v>1954.1</v>
      </c>
      <c r="F533" s="8">
        <f t="shared" si="8"/>
        <v>-157781.5</v>
      </c>
      <c r="G533" t="str">
        <f>IF(표1[[#This Row],[diff]]&gt;0,"import","export")</f>
        <v>export</v>
      </c>
    </row>
    <row r="534" spans="1:7" x14ac:dyDescent="0.3">
      <c r="A534" s="6">
        <v>2025</v>
      </c>
      <c r="B534" s="6">
        <v>2914221000</v>
      </c>
      <c r="C534" s="6" t="s">
        <v>289</v>
      </c>
      <c r="D534" s="6">
        <v>169.9</v>
      </c>
      <c r="E534" s="7">
        <v>9967.9</v>
      </c>
      <c r="F534" s="8">
        <f t="shared" si="8"/>
        <v>9798</v>
      </c>
      <c r="G534" t="str">
        <f>IF(표1[[#This Row],[diff]]&gt;0,"import","export")</f>
        <v>import</v>
      </c>
    </row>
    <row r="535" spans="1:7" x14ac:dyDescent="0.3">
      <c r="A535" s="6">
        <v>2025</v>
      </c>
      <c r="B535" s="6">
        <v>2915210000</v>
      </c>
      <c r="C535" s="6" t="s">
        <v>290</v>
      </c>
      <c r="D535" s="7">
        <v>139641.70000000001</v>
      </c>
      <c r="E535" s="7">
        <v>57484.7</v>
      </c>
      <c r="F535" s="8">
        <f t="shared" si="8"/>
        <v>-82157.000000000015</v>
      </c>
      <c r="G535" t="str">
        <f>IF(표1[[#This Row],[diff]]&gt;0,"import","export")</f>
        <v>export</v>
      </c>
    </row>
    <row r="536" spans="1:7" x14ac:dyDescent="0.3">
      <c r="A536" s="6">
        <v>2025</v>
      </c>
      <c r="B536" s="6">
        <v>2915320000</v>
      </c>
      <c r="C536" s="6" t="s">
        <v>291</v>
      </c>
      <c r="D536" s="7">
        <v>144258.9</v>
      </c>
      <c r="E536" s="7">
        <v>27284.7</v>
      </c>
      <c r="F536" s="8">
        <f t="shared" si="8"/>
        <v>-116974.2</v>
      </c>
      <c r="G536" t="str">
        <f>IF(표1[[#This Row],[diff]]&gt;0,"import","export")</f>
        <v>export</v>
      </c>
    </row>
    <row r="537" spans="1:7" x14ac:dyDescent="0.3">
      <c r="A537" s="6">
        <v>2025</v>
      </c>
      <c r="B537" s="6">
        <v>2916111000</v>
      </c>
      <c r="C537" s="6" t="s">
        <v>292</v>
      </c>
      <c r="D537" s="7">
        <v>48140.4</v>
      </c>
      <c r="E537" s="7">
        <v>32383.9</v>
      </c>
      <c r="F537" s="8">
        <f t="shared" si="8"/>
        <v>-15756.5</v>
      </c>
      <c r="G537" t="str">
        <f>IF(표1[[#This Row],[diff]]&gt;0,"import","export")</f>
        <v>export</v>
      </c>
    </row>
    <row r="538" spans="1:7" x14ac:dyDescent="0.3">
      <c r="A538" s="6">
        <v>2025</v>
      </c>
      <c r="B538" s="6">
        <v>2916121000</v>
      </c>
      <c r="C538" s="6" t="s">
        <v>293</v>
      </c>
      <c r="D538" s="7">
        <v>8580.2000000000007</v>
      </c>
      <c r="E538" s="7">
        <v>10011.9</v>
      </c>
      <c r="F538" s="8">
        <f t="shared" si="8"/>
        <v>1431.6999999999989</v>
      </c>
      <c r="G538" t="str">
        <f>IF(표1[[#This Row],[diff]]&gt;0,"import","export")</f>
        <v>import</v>
      </c>
    </row>
    <row r="539" spans="1:7" x14ac:dyDescent="0.3">
      <c r="A539" s="6">
        <v>2025</v>
      </c>
      <c r="B539" s="6">
        <v>2916141000</v>
      </c>
      <c r="C539" s="6" t="s">
        <v>294</v>
      </c>
      <c r="D539" s="7">
        <v>18546.900000000001</v>
      </c>
      <c r="E539" s="7">
        <v>40396.300000000003</v>
      </c>
      <c r="F539" s="8">
        <f t="shared" si="8"/>
        <v>21849.4</v>
      </c>
      <c r="G539" t="str">
        <f>IF(표1[[#This Row],[diff]]&gt;0,"import","export")</f>
        <v>import</v>
      </c>
    </row>
    <row r="540" spans="1:7" x14ac:dyDescent="0.3">
      <c r="A540" s="6">
        <v>2025</v>
      </c>
      <c r="B540" s="6">
        <v>2917140000</v>
      </c>
      <c r="C540" s="6" t="s">
        <v>295</v>
      </c>
      <c r="D540" s="7">
        <v>37503.5</v>
      </c>
      <c r="E540" s="7">
        <v>3628</v>
      </c>
      <c r="F540" s="8">
        <f t="shared" si="8"/>
        <v>-33875.5</v>
      </c>
      <c r="G540" t="str">
        <f>IF(표1[[#This Row],[diff]]&gt;0,"import","export")</f>
        <v>export</v>
      </c>
    </row>
    <row r="541" spans="1:7" x14ac:dyDescent="0.3">
      <c r="A541" s="6">
        <v>2025</v>
      </c>
      <c r="B541" s="6">
        <v>2917350000</v>
      </c>
      <c r="C541" s="6" t="s">
        <v>296</v>
      </c>
      <c r="D541" s="7">
        <v>90676.1</v>
      </c>
      <c r="E541" s="7">
        <v>2650.8</v>
      </c>
      <c r="F541" s="8">
        <f t="shared" si="8"/>
        <v>-88025.3</v>
      </c>
      <c r="G541" t="str">
        <f>IF(표1[[#This Row],[diff]]&gt;0,"import","export")</f>
        <v>export</v>
      </c>
    </row>
    <row r="542" spans="1:7" x14ac:dyDescent="0.3">
      <c r="A542" s="6">
        <v>2025</v>
      </c>
      <c r="B542" s="6">
        <v>2917361000</v>
      </c>
      <c r="C542" s="6" t="s">
        <v>297</v>
      </c>
      <c r="D542" s="7">
        <v>1999736.8</v>
      </c>
      <c r="E542" s="7">
        <v>2592.8000000000002</v>
      </c>
      <c r="F542" s="8">
        <f t="shared" si="8"/>
        <v>-1997144</v>
      </c>
      <c r="G542" t="str">
        <f>IF(표1[[#This Row],[diff]]&gt;0,"import","export")</f>
        <v>export</v>
      </c>
    </row>
    <row r="543" spans="1:7" x14ac:dyDescent="0.3">
      <c r="A543" s="6">
        <v>2025</v>
      </c>
      <c r="B543" s="6">
        <v>2917370000</v>
      </c>
      <c r="C543" s="6" t="s">
        <v>298</v>
      </c>
      <c r="D543" s="7">
        <v>56296.6</v>
      </c>
      <c r="E543" s="6">
        <v>0.1</v>
      </c>
      <c r="F543" s="8">
        <f t="shared" si="8"/>
        <v>-56296.5</v>
      </c>
      <c r="G543" t="str">
        <f>IF(표1[[#This Row],[diff]]&gt;0,"import","export")</f>
        <v>export</v>
      </c>
    </row>
    <row r="544" spans="1:7" x14ac:dyDescent="0.3">
      <c r="A544" s="6">
        <v>2025</v>
      </c>
      <c r="B544" s="6">
        <v>2921411000</v>
      </c>
      <c r="C544" s="6" t="s">
        <v>299</v>
      </c>
      <c r="D544" s="7">
        <v>1985.8</v>
      </c>
      <c r="E544" s="7">
        <v>5786.2</v>
      </c>
      <c r="F544" s="8">
        <f t="shared" si="8"/>
        <v>3800.3999999999996</v>
      </c>
      <c r="G544" t="str">
        <f>IF(표1[[#This Row],[diff]]&gt;0,"import","export")</f>
        <v>import</v>
      </c>
    </row>
    <row r="545" spans="1:7" x14ac:dyDescent="0.3">
      <c r="A545" s="6">
        <v>2025</v>
      </c>
      <c r="B545" s="6">
        <v>2922111000</v>
      </c>
      <c r="C545" s="6" t="s">
        <v>300</v>
      </c>
      <c r="D545" s="7">
        <v>1150.0999999999999</v>
      </c>
      <c r="E545" s="7">
        <v>8056.1</v>
      </c>
      <c r="F545" s="8">
        <f t="shared" si="8"/>
        <v>6906</v>
      </c>
      <c r="G545" t="str">
        <f>IF(표1[[#This Row],[diff]]&gt;0,"import","export")</f>
        <v>import</v>
      </c>
    </row>
    <row r="546" spans="1:7" x14ac:dyDescent="0.3">
      <c r="A546" s="6">
        <v>2025</v>
      </c>
      <c r="B546" s="6">
        <v>2922121000</v>
      </c>
      <c r="C546" s="6" t="s">
        <v>301</v>
      </c>
      <c r="D546" s="6">
        <v>746.3</v>
      </c>
      <c r="E546" s="7">
        <v>3625.5</v>
      </c>
      <c r="F546" s="8">
        <f t="shared" si="8"/>
        <v>2879.2</v>
      </c>
      <c r="G546" t="str">
        <f>IF(표1[[#This Row],[diff]]&gt;0,"import","export")</f>
        <v>import</v>
      </c>
    </row>
    <row r="547" spans="1:7" x14ac:dyDescent="0.3">
      <c r="A547" s="6">
        <v>2025</v>
      </c>
      <c r="B547" s="6">
        <v>2922150000</v>
      </c>
      <c r="C547" s="6" t="s">
        <v>302</v>
      </c>
      <c r="D547" s="7">
        <v>2398.1</v>
      </c>
      <c r="E547" s="7">
        <v>12068.7</v>
      </c>
      <c r="F547" s="8">
        <f t="shared" si="8"/>
        <v>9670.6</v>
      </c>
      <c r="G547" t="str">
        <f>IF(표1[[#This Row],[diff]]&gt;0,"import","export")</f>
        <v>import</v>
      </c>
    </row>
    <row r="548" spans="1:7" x14ac:dyDescent="0.3">
      <c r="A548" s="6">
        <v>2025</v>
      </c>
      <c r="B548" s="6">
        <v>2926100000</v>
      </c>
      <c r="C548" s="6" t="s">
        <v>303</v>
      </c>
      <c r="D548" s="7">
        <v>274022.90000000002</v>
      </c>
      <c r="E548" s="7">
        <v>213741.3</v>
      </c>
      <c r="F548" s="8">
        <f t="shared" si="8"/>
        <v>-60281.600000000035</v>
      </c>
      <c r="G548" t="str">
        <f>IF(표1[[#This Row],[diff]]&gt;0,"import","export")</f>
        <v>export</v>
      </c>
    </row>
    <row r="549" spans="1:7" x14ac:dyDescent="0.3">
      <c r="A549" s="6">
        <v>2025</v>
      </c>
      <c r="B549" s="6">
        <v>2929101000</v>
      </c>
      <c r="C549" s="6" t="s">
        <v>304</v>
      </c>
      <c r="D549" s="7">
        <v>273663.2</v>
      </c>
      <c r="E549" s="7">
        <v>2725.5</v>
      </c>
      <c r="F549" s="8">
        <f t="shared" si="8"/>
        <v>-270937.7</v>
      </c>
      <c r="G549" t="str">
        <f>IF(표1[[#This Row],[diff]]&gt;0,"import","export")</f>
        <v>export</v>
      </c>
    </row>
    <row r="550" spans="1:7" x14ac:dyDescent="0.3">
      <c r="A550" s="6">
        <v>2025</v>
      </c>
      <c r="B550" s="6">
        <v>2929102000</v>
      </c>
      <c r="C550" s="6" t="s">
        <v>305</v>
      </c>
      <c r="D550" s="7">
        <v>156973.5</v>
      </c>
      <c r="E550" s="7">
        <v>1458.2</v>
      </c>
      <c r="F550" s="8">
        <f t="shared" si="8"/>
        <v>-155515.29999999999</v>
      </c>
      <c r="G550" t="str">
        <f>IF(표1[[#This Row],[diff]]&gt;0,"import","export")</f>
        <v>export</v>
      </c>
    </row>
    <row r="551" spans="1:7" x14ac:dyDescent="0.3">
      <c r="A551" s="6">
        <v>2025</v>
      </c>
      <c r="B551" s="6">
        <v>2933710000</v>
      </c>
      <c r="C551" s="6" t="s">
        <v>306</v>
      </c>
      <c r="D551" s="6">
        <v>0.3</v>
      </c>
      <c r="E551" s="7">
        <v>9068.2999999999993</v>
      </c>
      <c r="F551" s="8">
        <f t="shared" si="8"/>
        <v>9068</v>
      </c>
      <c r="G551" t="str">
        <f>IF(표1[[#This Row],[diff]]&gt;0,"import","export")</f>
        <v>import</v>
      </c>
    </row>
    <row r="552" spans="1:7" x14ac:dyDescent="0.3">
      <c r="A552" s="6">
        <v>2025</v>
      </c>
      <c r="B552" s="6">
        <v>3901101000</v>
      </c>
      <c r="C552" s="6" t="s">
        <v>307</v>
      </c>
      <c r="D552" s="7">
        <v>177360.3</v>
      </c>
      <c r="E552" s="7">
        <v>38144.800000000003</v>
      </c>
      <c r="F552" s="8">
        <f t="shared" si="8"/>
        <v>-139215.5</v>
      </c>
      <c r="G552" t="str">
        <f>IF(표1[[#This Row],[diff]]&gt;0,"import","export")</f>
        <v>export</v>
      </c>
    </row>
    <row r="553" spans="1:7" x14ac:dyDescent="0.3">
      <c r="A553" s="6">
        <v>2025</v>
      </c>
      <c r="B553" s="6">
        <v>3902100000</v>
      </c>
      <c r="C553" s="6" t="s">
        <v>308</v>
      </c>
      <c r="D553" s="7">
        <v>1755653.8</v>
      </c>
      <c r="E553" s="7">
        <v>34078.300000000003</v>
      </c>
      <c r="F553" s="8">
        <f t="shared" si="8"/>
        <v>-1721575.5</v>
      </c>
      <c r="G553" t="str">
        <f>IF(표1[[#This Row],[diff]]&gt;0,"import","export")</f>
        <v>export</v>
      </c>
    </row>
    <row r="554" spans="1:7" x14ac:dyDescent="0.3">
      <c r="A554" s="6">
        <v>2025</v>
      </c>
      <c r="B554" s="6">
        <v>3902200000</v>
      </c>
      <c r="C554" s="6" t="s">
        <v>309</v>
      </c>
      <c r="D554" s="7">
        <v>195306.9</v>
      </c>
      <c r="E554" s="7">
        <v>1728.7</v>
      </c>
      <c r="F554" s="8">
        <f t="shared" si="8"/>
        <v>-193578.19999999998</v>
      </c>
      <c r="G554" t="str">
        <f>IF(표1[[#This Row],[diff]]&gt;0,"import","export")</f>
        <v>export</v>
      </c>
    </row>
    <row r="555" spans="1:7" x14ac:dyDescent="0.3">
      <c r="A555" s="6">
        <v>2025</v>
      </c>
      <c r="B555" s="6">
        <v>3903200000</v>
      </c>
      <c r="C555" s="6" t="s">
        <v>310</v>
      </c>
      <c r="D555" s="7">
        <v>193709.9</v>
      </c>
      <c r="E555" s="7">
        <v>6657.6</v>
      </c>
      <c r="F555" s="8">
        <f t="shared" si="8"/>
        <v>-187052.3</v>
      </c>
      <c r="G555" t="str">
        <f>IF(표1[[#This Row],[diff]]&gt;0,"import","export")</f>
        <v>export</v>
      </c>
    </row>
    <row r="556" spans="1:7" x14ac:dyDescent="0.3">
      <c r="A556" s="6">
        <v>2025</v>
      </c>
      <c r="B556" s="6">
        <v>3903300000</v>
      </c>
      <c r="C556" s="6" t="s">
        <v>311</v>
      </c>
      <c r="D556" s="7">
        <v>1028204.4</v>
      </c>
      <c r="E556" s="7">
        <v>11972.8</v>
      </c>
      <c r="F556" s="8">
        <f t="shared" si="8"/>
        <v>-1016231.6</v>
      </c>
      <c r="G556" t="str">
        <f>IF(표1[[#This Row],[diff]]&gt;0,"import","export")</f>
        <v>export</v>
      </c>
    </row>
    <row r="557" spans="1:7" x14ac:dyDescent="0.3">
      <c r="A557" s="6">
        <v>2025</v>
      </c>
      <c r="B557" s="6">
        <v>3903901000</v>
      </c>
      <c r="C557" s="6" t="s">
        <v>312</v>
      </c>
      <c r="D557" s="7">
        <v>262754.90000000002</v>
      </c>
      <c r="E557" s="7">
        <v>3269</v>
      </c>
      <c r="F557" s="8">
        <f t="shared" si="8"/>
        <v>-259485.90000000002</v>
      </c>
      <c r="G557" t="str">
        <f>IF(표1[[#This Row],[diff]]&gt;0,"import","export")</f>
        <v>export</v>
      </c>
    </row>
    <row r="558" spans="1:7" x14ac:dyDescent="0.3">
      <c r="A558" s="6">
        <v>2025</v>
      </c>
      <c r="B558" s="6">
        <v>3906100000</v>
      </c>
      <c r="C558" s="6" t="s">
        <v>313</v>
      </c>
      <c r="D558" s="7">
        <v>95600.1</v>
      </c>
      <c r="E558" s="7">
        <v>9260.1</v>
      </c>
      <c r="F558" s="8">
        <f t="shared" si="8"/>
        <v>-86340</v>
      </c>
      <c r="G558" t="str">
        <f>IF(표1[[#This Row],[diff]]&gt;0,"import","export")</f>
        <v>export</v>
      </c>
    </row>
    <row r="559" spans="1:7" x14ac:dyDescent="0.3">
      <c r="A559" s="6">
        <v>2025</v>
      </c>
      <c r="B559" s="6">
        <v>3907400000</v>
      </c>
      <c r="C559" s="6" t="s">
        <v>314</v>
      </c>
      <c r="D559" s="7">
        <v>653450.4</v>
      </c>
      <c r="E559" s="7">
        <v>95847.8</v>
      </c>
      <c r="F559" s="8">
        <f t="shared" si="8"/>
        <v>-557602.6</v>
      </c>
      <c r="G559" t="str">
        <f>IF(표1[[#This Row],[diff]]&gt;0,"import","export")</f>
        <v>export</v>
      </c>
    </row>
    <row r="560" spans="1:7" x14ac:dyDescent="0.3">
      <c r="A560" s="6">
        <v>2025</v>
      </c>
      <c r="B560" s="6">
        <v>3909500000</v>
      </c>
      <c r="C560" s="6" t="s">
        <v>315</v>
      </c>
      <c r="D560" s="7">
        <v>69802.2</v>
      </c>
      <c r="E560" s="7">
        <v>30132.3</v>
      </c>
      <c r="F560" s="8">
        <f t="shared" si="8"/>
        <v>-39669.899999999994</v>
      </c>
      <c r="G560" t="str">
        <f>IF(표1[[#This Row],[diff]]&gt;0,"import","export")</f>
        <v>export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56ec2f6-49a6-4260-b291-cddfa4fb07f3}" enabled="1" method="Privileged" siteId="{a2d478ac-b585-41c5-a681-f7383808fa1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material_master</vt:lpstr>
      <vt:lpstr>trade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이원일(W.I. Lee)</cp:lastModifiedBy>
  <dcterms:created xsi:type="dcterms:W3CDTF">2015-06-05T18:19:34Z</dcterms:created>
  <dcterms:modified xsi:type="dcterms:W3CDTF">2026-04-08T04:56:30Z</dcterms:modified>
</cp:coreProperties>
</file>